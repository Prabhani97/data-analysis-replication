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Box\FOGERTY\Studies\TIMES\PCA_TIMES\TIMES DA Manuscript\PLoS ONE Submission\"/>
    </mc:Choice>
  </mc:AlternateContent>
  <xr:revisionPtr revIDLastSave="0" documentId="13_ncr:1_{45CD7FDE-E981-4F76-8EA2-B44B7CD74C18}" xr6:coauthVersionLast="47" xr6:coauthVersionMax="47" xr10:uidLastSave="{00000000-0000-0000-0000-000000000000}"/>
  <bookViews>
    <workbookView xWindow="-120" yWindow="-120" windowWidth="29040" windowHeight="15720" tabRatio="891" xr2:uid="{40C094E7-A2B2-4B3F-B13E-36AACAF607AB}"/>
  </bookViews>
  <sheets>
    <sheet name="ReadME" sheetId="17" r:id="rId1"/>
    <sheet name="AuditoryVariables" sheetId="19" r:id="rId2"/>
    <sheet name="CognitiveVariables (z-scores)" sheetId="20" r:id="rId3"/>
    <sheet name="Predictors&amp;Outcomes" sheetId="18" r:id="rId4"/>
    <sheet name="Dominance_D1-SR" sheetId="7" r:id="rId5"/>
    <sheet name="Dominance_D2-NM" sheetId="8" r:id="rId6"/>
    <sheet name="Dominance_D3-SR+NM" sheetId="9" r:id="rId7"/>
    <sheet name="Dominance_Summary" sheetId="12" r:id="rId8"/>
    <sheet name="Overall PCA &amp; Generalization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6" l="1"/>
  <c r="R20" i="16" s="1"/>
  <c r="G19" i="16"/>
  <c r="G20" i="16" s="1"/>
  <c r="S18" i="16"/>
  <c r="S20" i="16" s="1"/>
  <c r="H18" i="16"/>
  <c r="H20" i="16" s="1"/>
  <c r="T17" i="16"/>
  <c r="T20" i="16" s="1"/>
  <c r="I17" i="16"/>
  <c r="I20" i="16" s="1"/>
  <c r="U16" i="16"/>
  <c r="U20" i="16" s="1"/>
  <c r="J16" i="16"/>
  <c r="J20" i="16" s="1"/>
  <c r="S14" i="16"/>
  <c r="R14" i="16"/>
  <c r="H14" i="16"/>
  <c r="G14" i="16"/>
  <c r="T13" i="16"/>
  <c r="R13" i="16"/>
  <c r="I13" i="16"/>
  <c r="G13" i="16"/>
  <c r="U12" i="16"/>
  <c r="U15" i="16" s="1"/>
  <c r="R12" i="16"/>
  <c r="R15" i="16" s="1"/>
  <c r="J12" i="16"/>
  <c r="J15" i="16" s="1"/>
  <c r="G12" i="16"/>
  <c r="T11" i="16"/>
  <c r="S11" i="16"/>
  <c r="I11" i="16"/>
  <c r="I15" i="16" s="1"/>
  <c r="H11" i="16"/>
  <c r="U10" i="16"/>
  <c r="S10" i="16"/>
  <c r="J10" i="16"/>
  <c r="H10" i="16"/>
  <c r="U9" i="16"/>
  <c r="T9" i="16"/>
  <c r="J9" i="16"/>
  <c r="I9" i="16"/>
  <c r="T7" i="16"/>
  <c r="S7" i="16"/>
  <c r="R7" i="16"/>
  <c r="I7" i="16"/>
  <c r="H7" i="16"/>
  <c r="G7" i="16"/>
  <c r="U6" i="16"/>
  <c r="S6" i="16"/>
  <c r="R6" i="16"/>
  <c r="J6" i="16"/>
  <c r="H6" i="16"/>
  <c r="G6" i="16"/>
  <c r="U5" i="16"/>
  <c r="T5" i="16"/>
  <c r="R5" i="16"/>
  <c r="J5" i="16"/>
  <c r="I5" i="16"/>
  <c r="G5" i="16"/>
  <c r="U4" i="16"/>
  <c r="T4" i="16"/>
  <c r="S4" i="16"/>
  <c r="J4" i="16"/>
  <c r="I4" i="16"/>
  <c r="I8" i="16" s="1"/>
  <c r="H4" i="16"/>
  <c r="U3" i="16"/>
  <c r="T3" i="16"/>
  <c r="S3" i="16"/>
  <c r="R3" i="16"/>
  <c r="J3" i="16"/>
  <c r="I3" i="16"/>
  <c r="H3" i="16"/>
  <c r="G3" i="16"/>
  <c r="S15" i="16" l="1"/>
  <c r="T15" i="16"/>
  <c r="U8" i="16"/>
  <c r="G15" i="16"/>
  <c r="G8" i="16"/>
  <c r="H8" i="16"/>
  <c r="R8" i="16"/>
  <c r="R22" i="16" s="1"/>
  <c r="H15" i="16"/>
  <c r="I22" i="16"/>
  <c r="J8" i="16"/>
  <c r="J22" i="16" s="1"/>
  <c r="S8" i="16"/>
  <c r="T8" i="16"/>
  <c r="T22" i="16" s="1"/>
  <c r="U22" i="16"/>
  <c r="G22" i="16" l="1"/>
  <c r="S22" i="16"/>
  <c r="H22" i="16"/>
  <c r="R42" i="16" l="1"/>
  <c r="R43" i="16" s="1"/>
  <c r="S41" i="16"/>
  <c r="S43" i="16" s="1"/>
  <c r="T40" i="16"/>
  <c r="T43" i="16" s="1"/>
  <c r="U39" i="16"/>
  <c r="U43" i="16" s="1"/>
  <c r="S37" i="16"/>
  <c r="R37" i="16"/>
  <c r="T36" i="16"/>
  <c r="R36" i="16"/>
  <c r="U35" i="16"/>
  <c r="U38" i="16" s="1"/>
  <c r="R35" i="16"/>
  <c r="T34" i="16"/>
  <c r="T38" i="16" s="1"/>
  <c r="S34" i="16"/>
  <c r="U33" i="16"/>
  <c r="S33" i="16"/>
  <c r="U32" i="16"/>
  <c r="T32" i="16"/>
  <c r="T30" i="16"/>
  <c r="S30" i="16"/>
  <c r="R30" i="16"/>
  <c r="U29" i="16"/>
  <c r="S29" i="16"/>
  <c r="R29" i="16"/>
  <c r="U28" i="16"/>
  <c r="T28" i="16"/>
  <c r="R28" i="16"/>
  <c r="U27" i="16"/>
  <c r="T27" i="16"/>
  <c r="T31" i="16" s="1"/>
  <c r="S27" i="16"/>
  <c r="U26" i="16"/>
  <c r="T26" i="16"/>
  <c r="S26" i="16"/>
  <c r="R26" i="16"/>
  <c r="G42" i="16"/>
  <c r="G43" i="16" s="1"/>
  <c r="H41" i="16"/>
  <c r="H43" i="16" s="1"/>
  <c r="I40" i="16"/>
  <c r="I43" i="16" s="1"/>
  <c r="J39" i="16"/>
  <c r="J43" i="16" s="1"/>
  <c r="H37" i="16"/>
  <c r="G37" i="16"/>
  <c r="I36" i="16"/>
  <c r="G36" i="16"/>
  <c r="J35" i="16"/>
  <c r="J38" i="16" s="1"/>
  <c r="G35" i="16"/>
  <c r="I34" i="16"/>
  <c r="I38" i="16" s="1"/>
  <c r="H34" i="16"/>
  <c r="J33" i="16"/>
  <c r="H33" i="16"/>
  <c r="J32" i="16"/>
  <c r="I32" i="16"/>
  <c r="I30" i="16"/>
  <c r="H30" i="16"/>
  <c r="G30" i="16"/>
  <c r="J29" i="16"/>
  <c r="H29" i="16"/>
  <c r="G29" i="16"/>
  <c r="J28" i="16"/>
  <c r="I28" i="16"/>
  <c r="G28" i="16"/>
  <c r="J27" i="16"/>
  <c r="I27" i="16"/>
  <c r="I31" i="16" s="1"/>
  <c r="H27" i="16"/>
  <c r="J26" i="16"/>
  <c r="I26" i="16"/>
  <c r="H26" i="16"/>
  <c r="G26" i="16"/>
  <c r="S38" i="16" l="1"/>
  <c r="I45" i="16"/>
  <c r="J31" i="16"/>
  <c r="J45" i="16" s="1"/>
  <c r="R38" i="16"/>
  <c r="S31" i="16"/>
  <c r="U31" i="16"/>
  <c r="U45" i="16" s="1"/>
  <c r="R31" i="16"/>
  <c r="R45" i="16" s="1"/>
  <c r="S45" i="16"/>
  <c r="T45" i="16"/>
  <c r="H38" i="16"/>
  <c r="H31" i="16"/>
  <c r="H45" i="16" s="1"/>
  <c r="G31" i="16"/>
  <c r="G38" i="16"/>
  <c r="G45" i="16" l="1"/>
  <c r="R66" i="9" l="1"/>
  <c r="R67" i="9" s="1"/>
  <c r="G66" i="9"/>
  <c r="G67" i="9" s="1"/>
  <c r="S65" i="9"/>
  <c r="S67" i="9" s="1"/>
  <c r="H65" i="9"/>
  <c r="H67" i="9" s="1"/>
  <c r="T64" i="9"/>
  <c r="T67" i="9" s="1"/>
  <c r="I64" i="9"/>
  <c r="I67" i="9" s="1"/>
  <c r="U63" i="9"/>
  <c r="U67" i="9" s="1"/>
  <c r="J63" i="9"/>
  <c r="J67" i="9" s="1"/>
  <c r="S61" i="9"/>
  <c r="R61" i="9"/>
  <c r="H61" i="9"/>
  <c r="G61" i="9"/>
  <c r="T60" i="9"/>
  <c r="R60" i="9"/>
  <c r="I60" i="9"/>
  <c r="G60" i="9"/>
  <c r="U59" i="9"/>
  <c r="U62" i="9" s="1"/>
  <c r="R59" i="9"/>
  <c r="J59" i="9"/>
  <c r="J62" i="9" s="1"/>
  <c r="G59" i="9"/>
  <c r="T58" i="9"/>
  <c r="S58" i="9"/>
  <c r="I58" i="9"/>
  <c r="I62" i="9" s="1"/>
  <c r="H58" i="9"/>
  <c r="U57" i="9"/>
  <c r="S57" i="9"/>
  <c r="J57" i="9"/>
  <c r="H57" i="9"/>
  <c r="U56" i="9"/>
  <c r="T56" i="9"/>
  <c r="J56" i="9"/>
  <c r="I56" i="9"/>
  <c r="T54" i="9"/>
  <c r="S54" i="9"/>
  <c r="R54" i="9"/>
  <c r="I54" i="9"/>
  <c r="H54" i="9"/>
  <c r="G54" i="9"/>
  <c r="U53" i="9"/>
  <c r="S53" i="9"/>
  <c r="R53" i="9"/>
  <c r="J53" i="9"/>
  <c r="H53" i="9"/>
  <c r="G53" i="9"/>
  <c r="U52" i="9"/>
  <c r="T52" i="9"/>
  <c r="R52" i="9"/>
  <c r="J52" i="9"/>
  <c r="I52" i="9"/>
  <c r="G52" i="9"/>
  <c r="U51" i="9"/>
  <c r="T51" i="9"/>
  <c r="S51" i="9"/>
  <c r="J51" i="9"/>
  <c r="I51" i="9"/>
  <c r="H51" i="9"/>
  <c r="U50" i="9"/>
  <c r="T50" i="9"/>
  <c r="S50" i="9"/>
  <c r="R50" i="9"/>
  <c r="J50" i="9"/>
  <c r="I50" i="9"/>
  <c r="H50" i="9"/>
  <c r="G50" i="9"/>
  <c r="R43" i="9"/>
  <c r="R44" i="9" s="1"/>
  <c r="G43" i="9"/>
  <c r="G44" i="9" s="1"/>
  <c r="S42" i="9"/>
  <c r="S44" i="9" s="1"/>
  <c r="H42" i="9"/>
  <c r="H44" i="9" s="1"/>
  <c r="T41" i="9"/>
  <c r="T44" i="9" s="1"/>
  <c r="I41" i="9"/>
  <c r="I44" i="9" s="1"/>
  <c r="U40" i="9"/>
  <c r="U44" i="9" s="1"/>
  <c r="J40" i="9"/>
  <c r="J44" i="9" s="1"/>
  <c r="S38" i="9"/>
  <c r="R38" i="9"/>
  <c r="H38" i="9"/>
  <c r="G38" i="9"/>
  <c r="T37" i="9"/>
  <c r="R37" i="9"/>
  <c r="I37" i="9"/>
  <c r="G37" i="9"/>
  <c r="U36" i="9"/>
  <c r="U39" i="9" s="1"/>
  <c r="R36" i="9"/>
  <c r="J36" i="9"/>
  <c r="J39" i="9" s="1"/>
  <c r="G36" i="9"/>
  <c r="T35" i="9"/>
  <c r="T39" i="9" s="1"/>
  <c r="S35" i="9"/>
  <c r="I35" i="9"/>
  <c r="H35" i="9"/>
  <c r="U34" i="9"/>
  <c r="S34" i="9"/>
  <c r="J34" i="9"/>
  <c r="H34" i="9"/>
  <c r="U33" i="9"/>
  <c r="T33" i="9"/>
  <c r="J33" i="9"/>
  <c r="I33" i="9"/>
  <c r="T31" i="9"/>
  <c r="S31" i="9"/>
  <c r="R31" i="9"/>
  <c r="I31" i="9"/>
  <c r="H31" i="9"/>
  <c r="G31" i="9"/>
  <c r="U30" i="9"/>
  <c r="S30" i="9"/>
  <c r="R30" i="9"/>
  <c r="J30" i="9"/>
  <c r="H30" i="9"/>
  <c r="G30" i="9"/>
  <c r="U29" i="9"/>
  <c r="T29" i="9"/>
  <c r="R29" i="9"/>
  <c r="J29" i="9"/>
  <c r="I29" i="9"/>
  <c r="G29" i="9"/>
  <c r="U28" i="9"/>
  <c r="T28" i="9"/>
  <c r="S28" i="9"/>
  <c r="J28" i="9"/>
  <c r="I28" i="9"/>
  <c r="H28" i="9"/>
  <c r="U27" i="9"/>
  <c r="T27" i="9"/>
  <c r="S27" i="9"/>
  <c r="R27" i="9"/>
  <c r="J27" i="9"/>
  <c r="I27" i="9"/>
  <c r="H27" i="9"/>
  <c r="G27" i="9"/>
  <c r="R19" i="9"/>
  <c r="R20" i="9" s="1"/>
  <c r="G19" i="9"/>
  <c r="G20" i="9" s="1"/>
  <c r="S18" i="9"/>
  <c r="S20" i="9" s="1"/>
  <c r="H18" i="9"/>
  <c r="H20" i="9" s="1"/>
  <c r="T17" i="9"/>
  <c r="T20" i="9" s="1"/>
  <c r="I17" i="9"/>
  <c r="I20" i="9" s="1"/>
  <c r="U16" i="9"/>
  <c r="U20" i="9" s="1"/>
  <c r="J16" i="9"/>
  <c r="J20" i="9" s="1"/>
  <c r="S14" i="9"/>
  <c r="R14" i="9"/>
  <c r="H14" i="9"/>
  <c r="G14" i="9"/>
  <c r="T13" i="9"/>
  <c r="R13" i="9"/>
  <c r="I13" i="9"/>
  <c r="G13" i="9"/>
  <c r="U12" i="9"/>
  <c r="U15" i="9" s="1"/>
  <c r="R12" i="9"/>
  <c r="J12" i="9"/>
  <c r="J15" i="9" s="1"/>
  <c r="G12" i="9"/>
  <c r="T11" i="9"/>
  <c r="S11" i="9"/>
  <c r="I11" i="9"/>
  <c r="H11" i="9"/>
  <c r="U10" i="9"/>
  <c r="S10" i="9"/>
  <c r="J10" i="9"/>
  <c r="H10" i="9"/>
  <c r="U9" i="9"/>
  <c r="T9" i="9"/>
  <c r="J9" i="9"/>
  <c r="I9" i="9"/>
  <c r="T7" i="9"/>
  <c r="S7" i="9"/>
  <c r="R7" i="9"/>
  <c r="I7" i="9"/>
  <c r="H7" i="9"/>
  <c r="G7" i="9"/>
  <c r="U6" i="9"/>
  <c r="S6" i="9"/>
  <c r="R6" i="9"/>
  <c r="J6" i="9"/>
  <c r="H6" i="9"/>
  <c r="G6" i="9"/>
  <c r="U5" i="9"/>
  <c r="T5" i="9"/>
  <c r="R5" i="9"/>
  <c r="J5" i="9"/>
  <c r="I5" i="9"/>
  <c r="G5" i="9"/>
  <c r="U4" i="9"/>
  <c r="T4" i="9"/>
  <c r="S4" i="9"/>
  <c r="J4" i="9"/>
  <c r="I4" i="9"/>
  <c r="H4" i="9"/>
  <c r="U3" i="9"/>
  <c r="T3" i="9"/>
  <c r="S3" i="9"/>
  <c r="R3" i="9"/>
  <c r="J3" i="9"/>
  <c r="I3" i="9"/>
  <c r="H3" i="9"/>
  <c r="G3" i="9"/>
  <c r="R66" i="8"/>
  <c r="R67" i="8" s="1"/>
  <c r="G66" i="8"/>
  <c r="G67" i="8" s="1"/>
  <c r="S65" i="8"/>
  <c r="S67" i="8" s="1"/>
  <c r="H65" i="8"/>
  <c r="H67" i="8" s="1"/>
  <c r="T64" i="8"/>
  <c r="T67" i="8" s="1"/>
  <c r="I64" i="8"/>
  <c r="I67" i="8" s="1"/>
  <c r="U63" i="8"/>
  <c r="U67" i="8" s="1"/>
  <c r="J63" i="8"/>
  <c r="J67" i="8" s="1"/>
  <c r="S61" i="8"/>
  <c r="R61" i="8"/>
  <c r="H61" i="8"/>
  <c r="G61" i="8"/>
  <c r="T60" i="8"/>
  <c r="R60" i="8"/>
  <c r="I60" i="8"/>
  <c r="G60" i="8"/>
  <c r="U59" i="8"/>
  <c r="U62" i="8" s="1"/>
  <c r="R59" i="8"/>
  <c r="J59" i="8"/>
  <c r="J62" i="8" s="1"/>
  <c r="G59" i="8"/>
  <c r="T58" i="8"/>
  <c r="T62" i="8" s="1"/>
  <c r="S58" i="8"/>
  <c r="I58" i="8"/>
  <c r="I62" i="8" s="1"/>
  <c r="H58" i="8"/>
  <c r="U57" i="8"/>
  <c r="S57" i="8"/>
  <c r="J57" i="8"/>
  <c r="H57" i="8"/>
  <c r="U56" i="8"/>
  <c r="T56" i="8"/>
  <c r="J56" i="8"/>
  <c r="I56" i="8"/>
  <c r="T54" i="8"/>
  <c r="S54" i="8"/>
  <c r="R54" i="8"/>
  <c r="I54" i="8"/>
  <c r="H54" i="8"/>
  <c r="G54" i="8"/>
  <c r="U53" i="8"/>
  <c r="S53" i="8"/>
  <c r="R53" i="8"/>
  <c r="J53" i="8"/>
  <c r="H53" i="8"/>
  <c r="G53" i="8"/>
  <c r="U52" i="8"/>
  <c r="T52" i="8"/>
  <c r="R52" i="8"/>
  <c r="J52" i="8"/>
  <c r="I52" i="8"/>
  <c r="G52" i="8"/>
  <c r="U51" i="8"/>
  <c r="T51" i="8"/>
  <c r="S51" i="8"/>
  <c r="J51" i="8"/>
  <c r="I51" i="8"/>
  <c r="H51" i="8"/>
  <c r="U50" i="8"/>
  <c r="T50" i="8"/>
  <c r="S50" i="8"/>
  <c r="R50" i="8"/>
  <c r="J50" i="8"/>
  <c r="I50" i="8"/>
  <c r="H50" i="8"/>
  <c r="G50" i="8"/>
  <c r="R43" i="8"/>
  <c r="R44" i="8" s="1"/>
  <c r="G43" i="8"/>
  <c r="G44" i="8" s="1"/>
  <c r="S42" i="8"/>
  <c r="S44" i="8" s="1"/>
  <c r="H42" i="8"/>
  <c r="H44" i="8" s="1"/>
  <c r="T41" i="8"/>
  <c r="T44" i="8" s="1"/>
  <c r="I41" i="8"/>
  <c r="I44" i="8" s="1"/>
  <c r="U40" i="8"/>
  <c r="U44" i="8" s="1"/>
  <c r="J40" i="8"/>
  <c r="J44" i="8" s="1"/>
  <c r="S38" i="8"/>
  <c r="R38" i="8"/>
  <c r="H38" i="8"/>
  <c r="G38" i="8"/>
  <c r="T37" i="8"/>
  <c r="R37" i="8"/>
  <c r="I37" i="8"/>
  <c r="G37" i="8"/>
  <c r="U36" i="8"/>
  <c r="U39" i="8" s="1"/>
  <c r="R36" i="8"/>
  <c r="J36" i="8"/>
  <c r="J39" i="8" s="1"/>
  <c r="G36" i="8"/>
  <c r="T35" i="8"/>
  <c r="T39" i="8" s="1"/>
  <c r="S35" i="8"/>
  <c r="I35" i="8"/>
  <c r="H35" i="8"/>
  <c r="U34" i="8"/>
  <c r="S34" i="8"/>
  <c r="J34" i="8"/>
  <c r="H34" i="8"/>
  <c r="U33" i="8"/>
  <c r="T33" i="8"/>
  <c r="J33" i="8"/>
  <c r="I33" i="8"/>
  <c r="T31" i="8"/>
  <c r="S31" i="8"/>
  <c r="R31" i="8"/>
  <c r="I31" i="8"/>
  <c r="H31" i="8"/>
  <c r="G31" i="8"/>
  <c r="U30" i="8"/>
  <c r="S30" i="8"/>
  <c r="R30" i="8"/>
  <c r="J30" i="8"/>
  <c r="H30" i="8"/>
  <c r="G30" i="8"/>
  <c r="U29" i="8"/>
  <c r="T29" i="8"/>
  <c r="R29" i="8"/>
  <c r="J29" i="8"/>
  <c r="I29" i="8"/>
  <c r="G29" i="8"/>
  <c r="U28" i="8"/>
  <c r="T28" i="8"/>
  <c r="S28" i="8"/>
  <c r="J28" i="8"/>
  <c r="I28" i="8"/>
  <c r="H28" i="8"/>
  <c r="U27" i="8"/>
  <c r="T27" i="8"/>
  <c r="S27" i="8"/>
  <c r="R27" i="8"/>
  <c r="J27" i="8"/>
  <c r="I27" i="8"/>
  <c r="H27" i="8"/>
  <c r="G27" i="8"/>
  <c r="R19" i="8"/>
  <c r="R20" i="8" s="1"/>
  <c r="G19" i="8"/>
  <c r="G20" i="8" s="1"/>
  <c r="S18" i="8"/>
  <c r="S20" i="8" s="1"/>
  <c r="H18" i="8"/>
  <c r="H20" i="8" s="1"/>
  <c r="T17" i="8"/>
  <c r="T20" i="8" s="1"/>
  <c r="I17" i="8"/>
  <c r="I20" i="8" s="1"/>
  <c r="U16" i="8"/>
  <c r="U20" i="8" s="1"/>
  <c r="J16" i="8"/>
  <c r="J20" i="8" s="1"/>
  <c r="S14" i="8"/>
  <c r="R14" i="8"/>
  <c r="H14" i="8"/>
  <c r="G14" i="8"/>
  <c r="T13" i="8"/>
  <c r="R13" i="8"/>
  <c r="I13" i="8"/>
  <c r="G13" i="8"/>
  <c r="U12" i="8"/>
  <c r="U15" i="8" s="1"/>
  <c r="R12" i="8"/>
  <c r="J12" i="8"/>
  <c r="J15" i="8" s="1"/>
  <c r="G12" i="8"/>
  <c r="T11" i="8"/>
  <c r="T15" i="8" s="1"/>
  <c r="S11" i="8"/>
  <c r="I11" i="8"/>
  <c r="I15" i="8" s="1"/>
  <c r="H11" i="8"/>
  <c r="U10" i="8"/>
  <c r="S10" i="8"/>
  <c r="J10" i="8"/>
  <c r="H10" i="8"/>
  <c r="U9" i="8"/>
  <c r="T9" i="8"/>
  <c r="J9" i="8"/>
  <c r="I9" i="8"/>
  <c r="T7" i="8"/>
  <c r="S7" i="8"/>
  <c r="R7" i="8"/>
  <c r="I7" i="8"/>
  <c r="H7" i="8"/>
  <c r="G7" i="8"/>
  <c r="U6" i="8"/>
  <c r="S6" i="8"/>
  <c r="R6" i="8"/>
  <c r="J6" i="8"/>
  <c r="H6" i="8"/>
  <c r="G6" i="8"/>
  <c r="U5" i="8"/>
  <c r="T5" i="8"/>
  <c r="R5" i="8"/>
  <c r="J5" i="8"/>
  <c r="I5" i="8"/>
  <c r="G5" i="8"/>
  <c r="U4" i="8"/>
  <c r="T4" i="8"/>
  <c r="S4" i="8"/>
  <c r="J4" i="8"/>
  <c r="I4" i="8"/>
  <c r="H4" i="8"/>
  <c r="U3" i="8"/>
  <c r="T3" i="8"/>
  <c r="S3" i="8"/>
  <c r="R3" i="8"/>
  <c r="J3" i="8"/>
  <c r="I3" i="8"/>
  <c r="H3" i="8"/>
  <c r="G3" i="8"/>
  <c r="T62" i="9" l="1"/>
  <c r="R62" i="9"/>
  <c r="I55" i="8"/>
  <c r="I69" i="8" s="1"/>
  <c r="S62" i="8"/>
  <c r="R55" i="8"/>
  <c r="T55" i="8"/>
  <c r="T69" i="8" s="1"/>
  <c r="T77" i="8" s="1"/>
  <c r="N11" i="12" s="1"/>
  <c r="J28" i="12" s="1"/>
  <c r="H62" i="8"/>
  <c r="I15" i="9"/>
  <c r="T15" i="9"/>
  <c r="T8" i="9"/>
  <c r="H55" i="9"/>
  <c r="H15" i="9"/>
  <c r="J55" i="9"/>
  <c r="J69" i="9" s="1"/>
  <c r="G62" i="9"/>
  <c r="S62" i="9"/>
  <c r="H62" i="9"/>
  <c r="S55" i="9"/>
  <c r="R55" i="9"/>
  <c r="I55" i="9"/>
  <c r="I69" i="9" s="1"/>
  <c r="G55" i="9"/>
  <c r="T55" i="9"/>
  <c r="T69" i="9" s="1"/>
  <c r="T77" i="9" s="1"/>
  <c r="N16" i="12" s="1"/>
  <c r="K28" i="12" s="1"/>
  <c r="U55" i="9"/>
  <c r="U69" i="9" s="1"/>
  <c r="U77" i="9" s="1"/>
  <c r="O16" i="12" s="1"/>
  <c r="K34" i="12" s="1"/>
  <c r="S39" i="9"/>
  <c r="G39" i="9"/>
  <c r="R39" i="9"/>
  <c r="H39" i="9"/>
  <c r="I39" i="9"/>
  <c r="G32" i="9"/>
  <c r="R32" i="9"/>
  <c r="H32" i="9"/>
  <c r="S32" i="9"/>
  <c r="U32" i="9"/>
  <c r="U46" i="9" s="1"/>
  <c r="U76" i="9" s="1"/>
  <c r="O15" i="12" s="1"/>
  <c r="K33" i="12" s="1"/>
  <c r="T32" i="9"/>
  <c r="T46" i="9" s="1"/>
  <c r="I32" i="9"/>
  <c r="J32" i="9"/>
  <c r="J46" i="9" s="1"/>
  <c r="R15" i="9"/>
  <c r="S15" i="9"/>
  <c r="U8" i="9"/>
  <c r="U22" i="9" s="1"/>
  <c r="G15" i="9"/>
  <c r="J8" i="9"/>
  <c r="J22" i="9" s="1"/>
  <c r="J75" i="9" s="1"/>
  <c r="G14" i="12" s="1"/>
  <c r="F32" i="12" s="1"/>
  <c r="I8" i="9"/>
  <c r="R8" i="9"/>
  <c r="S8" i="9"/>
  <c r="G8" i="9"/>
  <c r="H8" i="9"/>
  <c r="I39" i="8"/>
  <c r="H39" i="8"/>
  <c r="R39" i="8"/>
  <c r="G32" i="8"/>
  <c r="R32" i="8"/>
  <c r="H32" i="8"/>
  <c r="J32" i="8"/>
  <c r="J46" i="8" s="1"/>
  <c r="U32" i="8"/>
  <c r="U46" i="8" s="1"/>
  <c r="U76" i="8" s="1"/>
  <c r="O10" i="12" s="1"/>
  <c r="J33" i="12" s="1"/>
  <c r="I32" i="8"/>
  <c r="S55" i="8"/>
  <c r="S15" i="8"/>
  <c r="H15" i="8"/>
  <c r="G15" i="8"/>
  <c r="I8" i="8"/>
  <c r="I22" i="8" s="1"/>
  <c r="I75" i="8" s="1"/>
  <c r="F9" i="12" s="1"/>
  <c r="E26" i="12" s="1"/>
  <c r="J8" i="8"/>
  <c r="J22" i="8" s="1"/>
  <c r="G39" i="8"/>
  <c r="G8" i="8"/>
  <c r="H8" i="8"/>
  <c r="R15" i="8"/>
  <c r="R8" i="8"/>
  <c r="T8" i="8"/>
  <c r="T22" i="8" s="1"/>
  <c r="T75" i="8" s="1"/>
  <c r="N9" i="12" s="1"/>
  <c r="J26" i="12" s="1"/>
  <c r="S8" i="8"/>
  <c r="U8" i="8"/>
  <c r="U22" i="8" s="1"/>
  <c r="U75" i="8" s="1"/>
  <c r="O9" i="12" s="1"/>
  <c r="J32" i="12" s="1"/>
  <c r="S32" i="8"/>
  <c r="T32" i="8"/>
  <c r="T46" i="8" s="1"/>
  <c r="S39" i="8"/>
  <c r="U55" i="8"/>
  <c r="U69" i="8" s="1"/>
  <c r="R62" i="8"/>
  <c r="G55" i="8"/>
  <c r="G62" i="8"/>
  <c r="H55" i="8"/>
  <c r="J55" i="8"/>
  <c r="J69" i="8" s="1"/>
  <c r="I46" i="8" l="1"/>
  <c r="I76" i="8" s="1"/>
  <c r="F10" i="12" s="1"/>
  <c r="E27" i="12" s="1"/>
  <c r="I22" i="9"/>
  <c r="I75" i="9" s="1"/>
  <c r="F14" i="12" s="1"/>
  <c r="F26" i="12" s="1"/>
  <c r="R69" i="9"/>
  <c r="R77" i="9" s="1"/>
  <c r="L16" i="12" s="1"/>
  <c r="K40" i="12" s="1"/>
  <c r="G69" i="8"/>
  <c r="G77" i="8" s="1"/>
  <c r="D11" i="12" s="1"/>
  <c r="E40" i="12" s="1"/>
  <c r="R69" i="8"/>
  <c r="R77" i="8" s="1"/>
  <c r="L11" i="12" s="1"/>
  <c r="J40" i="12" s="1"/>
  <c r="H69" i="8"/>
  <c r="H77" i="8" s="1"/>
  <c r="E11" i="12" s="1"/>
  <c r="E22" i="12" s="1"/>
  <c r="S69" i="8"/>
  <c r="S77" i="8" s="1"/>
  <c r="M11" i="12" s="1"/>
  <c r="J22" i="12" s="1"/>
  <c r="G69" i="9"/>
  <c r="H69" i="9"/>
  <c r="H77" i="9" s="1"/>
  <c r="E16" i="12" s="1"/>
  <c r="F22" i="12" s="1"/>
  <c r="S69" i="9"/>
  <c r="S77" i="9" s="1"/>
  <c r="M16" i="12" s="1"/>
  <c r="K22" i="12" s="1"/>
  <c r="S46" i="9"/>
  <c r="S76" i="9" s="1"/>
  <c r="M15" i="12" s="1"/>
  <c r="K21" i="12" s="1"/>
  <c r="T22" i="9"/>
  <c r="T75" i="9" s="1"/>
  <c r="N14" i="12" s="1"/>
  <c r="K26" i="12" s="1"/>
  <c r="H22" i="9"/>
  <c r="H75" i="9" s="1"/>
  <c r="E14" i="12" s="1"/>
  <c r="F20" i="12" s="1"/>
  <c r="G46" i="9"/>
  <c r="G76" i="9" s="1"/>
  <c r="D15" i="12" s="1"/>
  <c r="F39" i="12" s="1"/>
  <c r="R46" i="9"/>
  <c r="R76" i="9" s="1"/>
  <c r="L15" i="12" s="1"/>
  <c r="K39" i="12" s="1"/>
  <c r="H46" i="9"/>
  <c r="H76" i="9" s="1"/>
  <c r="E15" i="12" s="1"/>
  <c r="F21" i="12" s="1"/>
  <c r="I46" i="9"/>
  <c r="R22" i="9"/>
  <c r="R75" i="9" s="1"/>
  <c r="L14" i="12" s="1"/>
  <c r="K38" i="12" s="1"/>
  <c r="S22" i="9"/>
  <c r="G22" i="9"/>
  <c r="G75" i="9" s="1"/>
  <c r="D14" i="12" s="1"/>
  <c r="F38" i="12" s="1"/>
  <c r="H46" i="8"/>
  <c r="H76" i="8" s="1"/>
  <c r="E10" i="12" s="1"/>
  <c r="E21" i="12" s="1"/>
  <c r="R46" i="8"/>
  <c r="R76" i="8" s="1"/>
  <c r="L10" i="12" s="1"/>
  <c r="J39" i="12" s="1"/>
  <c r="S46" i="8"/>
  <c r="G46" i="8"/>
  <c r="H22" i="8"/>
  <c r="H75" i="8" s="1"/>
  <c r="E9" i="12" s="1"/>
  <c r="E20" i="12" s="1"/>
  <c r="S22" i="8"/>
  <c r="S75" i="8" s="1"/>
  <c r="M9" i="12" s="1"/>
  <c r="J20" i="12" s="1"/>
  <c r="R22" i="8"/>
  <c r="G22" i="8"/>
  <c r="J76" i="9"/>
  <c r="G15" i="12" s="1"/>
  <c r="F33" i="12" s="1"/>
  <c r="I77" i="9"/>
  <c r="F16" i="12" s="1"/>
  <c r="F28" i="12" s="1"/>
  <c r="J77" i="9"/>
  <c r="G16" i="12" s="1"/>
  <c r="F34" i="12" s="1"/>
  <c r="U75" i="9"/>
  <c r="O14" i="12" s="1"/>
  <c r="K32" i="12" s="1"/>
  <c r="T76" i="9"/>
  <c r="N15" i="12" s="1"/>
  <c r="K27" i="12" s="1"/>
  <c r="J77" i="8"/>
  <c r="G11" i="12" s="1"/>
  <c r="E34" i="12" s="1"/>
  <c r="J75" i="8"/>
  <c r="G9" i="12" s="1"/>
  <c r="E32" i="12" s="1"/>
  <c r="J76" i="8"/>
  <c r="G10" i="12" s="1"/>
  <c r="E33" i="12" s="1"/>
  <c r="T76" i="8"/>
  <c r="N10" i="12" s="1"/>
  <c r="J27" i="12" s="1"/>
  <c r="U77" i="8"/>
  <c r="O11" i="12" s="1"/>
  <c r="J34" i="12" s="1"/>
  <c r="I77" i="8"/>
  <c r="F11" i="12" s="1"/>
  <c r="E28" i="12" s="1"/>
  <c r="G77" i="9" l="1"/>
  <c r="D16" i="12" s="1"/>
  <c r="F40" i="12" s="1"/>
  <c r="I76" i="9"/>
  <c r="F15" i="12" s="1"/>
  <c r="F27" i="12" s="1"/>
  <c r="S75" i="9"/>
  <c r="M14" i="12" s="1"/>
  <c r="K20" i="12" s="1"/>
  <c r="S76" i="8"/>
  <c r="M10" i="12" s="1"/>
  <c r="J21" i="12" s="1"/>
  <c r="G76" i="8"/>
  <c r="D10" i="12" s="1"/>
  <c r="E39" i="12" s="1"/>
  <c r="R75" i="8"/>
  <c r="L9" i="12" s="1"/>
  <c r="J38" i="12" s="1"/>
  <c r="G75" i="8"/>
  <c r="D9" i="12" s="1"/>
  <c r="E38" i="12" s="1"/>
  <c r="R66" i="7" l="1"/>
  <c r="R67" i="7" s="1"/>
  <c r="G66" i="7"/>
  <c r="G67" i="7" s="1"/>
  <c r="S65" i="7"/>
  <c r="S67" i="7" s="1"/>
  <c r="H65" i="7"/>
  <c r="H67" i="7" s="1"/>
  <c r="T64" i="7"/>
  <c r="T67" i="7" s="1"/>
  <c r="I64" i="7"/>
  <c r="I67" i="7" s="1"/>
  <c r="U63" i="7"/>
  <c r="U67" i="7" s="1"/>
  <c r="J63" i="7"/>
  <c r="J67" i="7" s="1"/>
  <c r="S61" i="7"/>
  <c r="R61" i="7"/>
  <c r="H61" i="7"/>
  <c r="G61" i="7"/>
  <c r="T60" i="7"/>
  <c r="R60" i="7"/>
  <c r="I60" i="7"/>
  <c r="G60" i="7"/>
  <c r="U59" i="7"/>
  <c r="U62" i="7" s="1"/>
  <c r="R59" i="7"/>
  <c r="J59" i="7"/>
  <c r="J62" i="7" s="1"/>
  <c r="G59" i="7"/>
  <c r="T58" i="7"/>
  <c r="S58" i="7"/>
  <c r="I58" i="7"/>
  <c r="H58" i="7"/>
  <c r="U57" i="7"/>
  <c r="S57" i="7"/>
  <c r="J57" i="7"/>
  <c r="H57" i="7"/>
  <c r="U56" i="7"/>
  <c r="T56" i="7"/>
  <c r="J56" i="7"/>
  <c r="I56" i="7"/>
  <c r="T54" i="7"/>
  <c r="S54" i="7"/>
  <c r="R54" i="7"/>
  <c r="I54" i="7"/>
  <c r="H54" i="7"/>
  <c r="G54" i="7"/>
  <c r="U53" i="7"/>
  <c r="S53" i="7"/>
  <c r="R53" i="7"/>
  <c r="J53" i="7"/>
  <c r="H53" i="7"/>
  <c r="G53" i="7"/>
  <c r="U52" i="7"/>
  <c r="T52" i="7"/>
  <c r="R52" i="7"/>
  <c r="J52" i="7"/>
  <c r="I52" i="7"/>
  <c r="G52" i="7"/>
  <c r="U51" i="7"/>
  <c r="T51" i="7"/>
  <c r="S51" i="7"/>
  <c r="J51" i="7"/>
  <c r="I51" i="7"/>
  <c r="H51" i="7"/>
  <c r="U50" i="7"/>
  <c r="T50" i="7"/>
  <c r="S50" i="7"/>
  <c r="R50" i="7"/>
  <c r="J50" i="7"/>
  <c r="I50" i="7"/>
  <c r="H50" i="7"/>
  <c r="G50" i="7"/>
  <c r="R43" i="7"/>
  <c r="R44" i="7" s="1"/>
  <c r="G43" i="7"/>
  <c r="G44" i="7" s="1"/>
  <c r="S42" i="7"/>
  <c r="S44" i="7" s="1"/>
  <c r="H42" i="7"/>
  <c r="H44" i="7" s="1"/>
  <c r="T41" i="7"/>
  <c r="T44" i="7" s="1"/>
  <c r="I41" i="7"/>
  <c r="I44" i="7" s="1"/>
  <c r="U40" i="7"/>
  <c r="U44" i="7" s="1"/>
  <c r="J40" i="7"/>
  <c r="J44" i="7" s="1"/>
  <c r="S38" i="7"/>
  <c r="R38" i="7"/>
  <c r="H38" i="7"/>
  <c r="G38" i="7"/>
  <c r="T37" i="7"/>
  <c r="R37" i="7"/>
  <c r="I37" i="7"/>
  <c r="G37" i="7"/>
  <c r="U36" i="7"/>
  <c r="U39" i="7" s="1"/>
  <c r="R36" i="7"/>
  <c r="J36" i="7"/>
  <c r="J39" i="7" s="1"/>
  <c r="G36" i="7"/>
  <c r="T35" i="7"/>
  <c r="S35" i="7"/>
  <c r="I35" i="7"/>
  <c r="H35" i="7"/>
  <c r="U34" i="7"/>
  <c r="S34" i="7"/>
  <c r="J34" i="7"/>
  <c r="H34" i="7"/>
  <c r="U33" i="7"/>
  <c r="T33" i="7"/>
  <c r="J33" i="7"/>
  <c r="I33" i="7"/>
  <c r="T31" i="7"/>
  <c r="S31" i="7"/>
  <c r="R31" i="7"/>
  <c r="I31" i="7"/>
  <c r="H31" i="7"/>
  <c r="G31" i="7"/>
  <c r="U30" i="7"/>
  <c r="S30" i="7"/>
  <c r="R30" i="7"/>
  <c r="J30" i="7"/>
  <c r="H30" i="7"/>
  <c r="G30" i="7"/>
  <c r="U29" i="7"/>
  <c r="T29" i="7"/>
  <c r="R29" i="7"/>
  <c r="J29" i="7"/>
  <c r="I29" i="7"/>
  <c r="G29" i="7"/>
  <c r="U28" i="7"/>
  <c r="T28" i="7"/>
  <c r="S28" i="7"/>
  <c r="J28" i="7"/>
  <c r="I28" i="7"/>
  <c r="I32" i="7" s="1"/>
  <c r="H28" i="7"/>
  <c r="H32" i="7" s="1"/>
  <c r="U27" i="7"/>
  <c r="T27" i="7"/>
  <c r="S27" i="7"/>
  <c r="R27" i="7"/>
  <c r="J27" i="7"/>
  <c r="I27" i="7"/>
  <c r="H27" i="7"/>
  <c r="G27" i="7"/>
  <c r="R19" i="7"/>
  <c r="R20" i="7" s="1"/>
  <c r="G19" i="7"/>
  <c r="G20" i="7" s="1"/>
  <c r="S18" i="7"/>
  <c r="S20" i="7" s="1"/>
  <c r="H18" i="7"/>
  <c r="H20" i="7" s="1"/>
  <c r="T17" i="7"/>
  <c r="T20" i="7" s="1"/>
  <c r="I17" i="7"/>
  <c r="I20" i="7" s="1"/>
  <c r="U16" i="7"/>
  <c r="U20" i="7" s="1"/>
  <c r="J16" i="7"/>
  <c r="J20" i="7" s="1"/>
  <c r="S14" i="7"/>
  <c r="R14" i="7"/>
  <c r="H14" i="7"/>
  <c r="G14" i="7"/>
  <c r="T13" i="7"/>
  <c r="R13" i="7"/>
  <c r="I13" i="7"/>
  <c r="G13" i="7"/>
  <c r="G15" i="7" s="1"/>
  <c r="U12" i="7"/>
  <c r="U15" i="7" s="1"/>
  <c r="R12" i="7"/>
  <c r="J12" i="7"/>
  <c r="J15" i="7" s="1"/>
  <c r="G12" i="7"/>
  <c r="T11" i="7"/>
  <c r="T15" i="7" s="1"/>
  <c r="S11" i="7"/>
  <c r="I11" i="7"/>
  <c r="H11" i="7"/>
  <c r="U10" i="7"/>
  <c r="S10" i="7"/>
  <c r="J10" i="7"/>
  <c r="H10" i="7"/>
  <c r="U9" i="7"/>
  <c r="T9" i="7"/>
  <c r="J9" i="7"/>
  <c r="I9" i="7"/>
  <c r="T7" i="7"/>
  <c r="S7" i="7"/>
  <c r="R7" i="7"/>
  <c r="I7" i="7"/>
  <c r="H7" i="7"/>
  <c r="G7" i="7"/>
  <c r="U6" i="7"/>
  <c r="S6" i="7"/>
  <c r="R6" i="7"/>
  <c r="J6" i="7"/>
  <c r="H6" i="7"/>
  <c r="G6" i="7"/>
  <c r="U5" i="7"/>
  <c r="T5" i="7"/>
  <c r="R5" i="7"/>
  <c r="J5" i="7"/>
  <c r="I5" i="7"/>
  <c r="G5" i="7"/>
  <c r="U4" i="7"/>
  <c r="T4" i="7"/>
  <c r="S4" i="7"/>
  <c r="J4" i="7"/>
  <c r="I4" i="7"/>
  <c r="H4" i="7"/>
  <c r="H8" i="7" s="1"/>
  <c r="U3" i="7"/>
  <c r="T3" i="7"/>
  <c r="S3" i="7"/>
  <c r="R3" i="7"/>
  <c r="J3" i="7"/>
  <c r="I3" i="7"/>
  <c r="H3" i="7"/>
  <c r="G3" i="7"/>
  <c r="I62" i="7" l="1"/>
  <c r="J32" i="7"/>
  <c r="J46" i="7" s="1"/>
  <c r="G8" i="7"/>
  <c r="G22" i="7" s="1"/>
  <c r="G75" i="7" s="1"/>
  <c r="D4" i="12" s="1"/>
  <c r="D38" i="12" s="1"/>
  <c r="G38" i="12" s="1"/>
  <c r="I15" i="7"/>
  <c r="H62" i="7"/>
  <c r="H15" i="7"/>
  <c r="H22" i="7" s="1"/>
  <c r="I8" i="7"/>
  <c r="I22" i="7" s="1"/>
  <c r="I75" i="7" s="1"/>
  <c r="F4" i="12" s="1"/>
  <c r="D26" i="12" s="1"/>
  <c r="G26" i="12" s="1"/>
  <c r="T39" i="7"/>
  <c r="R62" i="7"/>
  <c r="S62" i="7"/>
  <c r="T62" i="7"/>
  <c r="U55" i="7"/>
  <c r="U69" i="7" s="1"/>
  <c r="S55" i="7"/>
  <c r="H55" i="7"/>
  <c r="R55" i="7"/>
  <c r="S39" i="7"/>
  <c r="H39" i="7"/>
  <c r="H46" i="7" s="1"/>
  <c r="I39" i="7"/>
  <c r="G39" i="7"/>
  <c r="S32" i="7"/>
  <c r="R32" i="7"/>
  <c r="U32" i="7"/>
  <c r="U46" i="7" s="1"/>
  <c r="U76" i="7" s="1"/>
  <c r="O5" i="12" s="1"/>
  <c r="I33" i="12" s="1"/>
  <c r="L33" i="12" s="1"/>
  <c r="S15" i="7"/>
  <c r="S8" i="7"/>
  <c r="U8" i="7"/>
  <c r="U22" i="7" s="1"/>
  <c r="R15" i="7"/>
  <c r="R8" i="7"/>
  <c r="T8" i="7"/>
  <c r="T22" i="7" s="1"/>
  <c r="J8" i="7"/>
  <c r="J22" i="7" s="1"/>
  <c r="G32" i="7"/>
  <c r="J55" i="7"/>
  <c r="J69" i="7" s="1"/>
  <c r="G62" i="7"/>
  <c r="I55" i="7"/>
  <c r="I69" i="7" s="1"/>
  <c r="I77" i="7" s="1"/>
  <c r="F6" i="12" s="1"/>
  <c r="D28" i="12" s="1"/>
  <c r="G28" i="12" s="1"/>
  <c r="G55" i="7"/>
  <c r="T55" i="7"/>
  <c r="T32" i="7"/>
  <c r="R39" i="7"/>
  <c r="T46" i="7" l="1"/>
  <c r="T76" i="7" s="1"/>
  <c r="N5" i="12" s="1"/>
  <c r="I27" i="12" s="1"/>
  <c r="L27" i="12" s="1"/>
  <c r="H69" i="7"/>
  <c r="H77" i="7" s="1"/>
  <c r="E6" i="12" s="1"/>
  <c r="D22" i="12" s="1"/>
  <c r="G22" i="12" s="1"/>
  <c r="S46" i="7"/>
  <c r="S76" i="7" s="1"/>
  <c r="M5" i="12" s="1"/>
  <c r="I21" i="12" s="1"/>
  <c r="L21" i="12" s="1"/>
  <c r="S22" i="7"/>
  <c r="R69" i="7"/>
  <c r="R77" i="7" s="1"/>
  <c r="L6" i="12" s="1"/>
  <c r="I40" i="12" s="1"/>
  <c r="L40" i="12" s="1"/>
  <c r="S69" i="7"/>
  <c r="S77" i="7" s="1"/>
  <c r="M6" i="12" s="1"/>
  <c r="I22" i="12" s="1"/>
  <c r="L22" i="12" s="1"/>
  <c r="G69" i="7"/>
  <c r="T69" i="7"/>
  <c r="I46" i="7"/>
  <c r="I76" i="7" s="1"/>
  <c r="F5" i="12" s="1"/>
  <c r="D27" i="12" s="1"/>
  <c r="G27" i="12" s="1"/>
  <c r="G46" i="7"/>
  <c r="G76" i="7" s="1"/>
  <c r="D5" i="12" s="1"/>
  <c r="D39" i="12" s="1"/>
  <c r="G39" i="12" s="1"/>
  <c r="R46" i="7"/>
  <c r="R22" i="7"/>
  <c r="J76" i="7"/>
  <c r="G5" i="12" s="1"/>
  <c r="D33" i="12" s="1"/>
  <c r="G33" i="12" s="1"/>
  <c r="J75" i="7"/>
  <c r="G4" i="12" s="1"/>
  <c r="D32" i="12" s="1"/>
  <c r="G32" i="12" s="1"/>
  <c r="H76" i="7"/>
  <c r="E5" i="12" s="1"/>
  <c r="D21" i="12" s="1"/>
  <c r="G21" i="12" s="1"/>
  <c r="U75" i="7"/>
  <c r="O4" i="12" s="1"/>
  <c r="I32" i="12" s="1"/>
  <c r="T75" i="7"/>
  <c r="N4" i="12" s="1"/>
  <c r="I26" i="12" s="1"/>
  <c r="H75" i="7"/>
  <c r="E4" i="12" s="1"/>
  <c r="D20" i="12" s="1"/>
  <c r="G20" i="12" s="1"/>
  <c r="J77" i="7"/>
  <c r="G6" i="12" s="1"/>
  <c r="D34" i="12" s="1"/>
  <c r="G34" i="12" s="1"/>
  <c r="U77" i="7"/>
  <c r="O6" i="12" s="1"/>
  <c r="I34" i="12" s="1"/>
  <c r="L34" i="12" s="1"/>
  <c r="L26" i="12" l="1"/>
  <c r="L32" i="12"/>
  <c r="S75" i="7"/>
  <c r="M4" i="12" s="1"/>
  <c r="I20" i="12" s="1"/>
  <c r="G77" i="7"/>
  <c r="D6" i="12" s="1"/>
  <c r="D40" i="12" s="1"/>
  <c r="G40" i="12" s="1"/>
  <c r="T77" i="7"/>
  <c r="N6" i="12" s="1"/>
  <c r="I28" i="12" s="1"/>
  <c r="L28" i="12" s="1"/>
  <c r="R76" i="7"/>
  <c r="L5" i="12" s="1"/>
  <c r="I39" i="12" s="1"/>
  <c r="L39" i="12" s="1"/>
  <c r="R75" i="7"/>
  <c r="L4" i="12" s="1"/>
  <c r="I38" i="12" s="1"/>
  <c r="L20" i="12" l="1"/>
  <c r="L38" i="12"/>
</calcChain>
</file>

<file path=xl/sharedStrings.xml><?xml version="1.0" encoding="utf-8"?>
<sst xmlns="http://schemas.openxmlformats.org/spreadsheetml/2006/main" count="1523" uniqueCount="163">
  <si>
    <t>k=1 avg</t>
  </si>
  <si>
    <t>k=0 avg</t>
  </si>
  <si>
    <t>k=2 avg</t>
  </si>
  <si>
    <t>k=3 avg</t>
  </si>
  <si>
    <t xml:space="preserve">Total </t>
  </si>
  <si>
    <t>Overall Avg</t>
  </si>
  <si>
    <t>WM</t>
  </si>
  <si>
    <t>Vocab</t>
  </si>
  <si>
    <t>Working Memory</t>
  </si>
  <si>
    <t>Vocabulary</t>
  </si>
  <si>
    <t>Generalization</t>
  </si>
  <si>
    <t>OHI</t>
  </si>
  <si>
    <t>ONH</t>
  </si>
  <si>
    <t>SRT20</t>
  </si>
  <si>
    <t>SRT50</t>
  </si>
  <si>
    <t>SRT80</t>
  </si>
  <si>
    <t>Overall</t>
  </si>
  <si>
    <t>MEAN</t>
  </si>
  <si>
    <t>Audio</t>
  </si>
  <si>
    <t>VOCAB</t>
  </si>
  <si>
    <t/>
  </si>
  <si>
    <t>Glimpse</t>
  </si>
  <si>
    <t>Glimpsing</t>
  </si>
  <si>
    <t>Audiogram</t>
  </si>
  <si>
    <t>ONH (Older Normal Hearing)</t>
  </si>
  <si>
    <t>OHI (Older Hearing Impaired)</t>
  </si>
  <si>
    <t>D2_NM - SRT20</t>
  </si>
  <si>
    <t>D2_NM - SRT50</t>
  </si>
  <si>
    <t>D2_NM - SRT 80</t>
  </si>
  <si>
    <t>D1_SR - SRT20</t>
  </si>
  <si>
    <t>D1_SR - SRT50</t>
  </si>
  <si>
    <t>D1_SR - SRT 80</t>
  </si>
  <si>
    <t>D3_SR+NM - SRT20</t>
  </si>
  <si>
    <t>D3_SR+NM - SRT50</t>
  </si>
  <si>
    <t>D3_SR+NM - SRT 80</t>
  </si>
  <si>
    <t>D1</t>
  </si>
  <si>
    <t>D2</t>
  </si>
  <si>
    <t>D3</t>
  </si>
  <si>
    <t>3Datasets_OverallPCA</t>
  </si>
  <si>
    <t xml:space="preserve">Auditory and cognitive contributions to recognition of degraded speech in noise: Individual differences among older adults </t>
  </si>
  <si>
    <t>Daniel Fogerty and Judy R. Dubno</t>
  </si>
  <si>
    <t>TAB</t>
  </si>
  <si>
    <t>Dominance_D1_SR</t>
  </si>
  <si>
    <t>Dominance_D2_NM</t>
  </si>
  <si>
    <t>Dominance_D3_SR+NM</t>
  </si>
  <si>
    <t>Analysis Results</t>
  </si>
  <si>
    <t>Overall PCA &amp; Generalization</t>
  </si>
  <si>
    <r>
      <t>Spectrally reduced speech (D1</t>
    </r>
    <r>
      <rPr>
        <vertAlign val="subscript"/>
        <sz val="12"/>
        <color theme="1"/>
        <rFont val="Calibri"/>
        <family val="2"/>
        <scheme val="minor"/>
      </rPr>
      <t>SR</t>
    </r>
    <r>
      <rPr>
        <sz val="12"/>
        <color theme="1"/>
        <rFont val="Calibri"/>
        <family val="2"/>
        <scheme val="minor"/>
      </rPr>
      <t>)</t>
    </r>
  </si>
  <si>
    <r>
      <t>Noise-masked speech (D2</t>
    </r>
    <r>
      <rPr>
        <vertAlign val="subscript"/>
        <sz val="12"/>
        <color theme="1"/>
        <rFont val="Calibri"/>
        <family val="2"/>
        <scheme val="minor"/>
      </rPr>
      <t>NM</t>
    </r>
    <r>
      <rPr>
        <sz val="12"/>
        <color theme="1"/>
        <rFont val="Calibri"/>
        <family val="2"/>
        <scheme val="minor"/>
      </rPr>
      <t>)</t>
    </r>
  </si>
  <si>
    <r>
      <t>Spectrally reduced and noise-masked speech (D3</t>
    </r>
    <r>
      <rPr>
        <vertAlign val="subscript"/>
        <sz val="12"/>
        <color theme="1"/>
        <rFont val="Calibri"/>
        <family val="2"/>
        <scheme val="minor"/>
      </rPr>
      <t>SR+NM</t>
    </r>
    <r>
      <rPr>
        <sz val="12"/>
        <color theme="1"/>
        <rFont val="Calibri"/>
        <family val="2"/>
        <scheme val="minor"/>
      </rPr>
      <t>)</t>
    </r>
  </si>
  <si>
    <r>
      <t xml:space="preserve">Summary </t>
    </r>
    <r>
      <rPr>
        <i/>
        <sz val="12"/>
        <color theme="1"/>
        <rFont val="Calibri"/>
        <family val="2"/>
        <scheme val="minor"/>
      </rPr>
      <t>Overall Dominance</t>
    </r>
    <r>
      <rPr>
        <sz val="12"/>
        <color theme="1"/>
        <rFont val="Calibri"/>
        <family val="2"/>
        <scheme val="minor"/>
      </rPr>
      <t xml:space="preserve"> Plots</t>
    </r>
  </si>
  <si>
    <t>F</t>
  </si>
  <si>
    <t>M</t>
  </si>
  <si>
    <t>HearGroup</t>
  </si>
  <si>
    <t>Age</t>
  </si>
  <si>
    <t>MMSE</t>
  </si>
  <si>
    <t>PTA4</t>
  </si>
  <si>
    <t>Audiogram_PCA</t>
  </si>
  <si>
    <t>SpeechModulation_PCA</t>
  </si>
  <si>
    <t>WorkingMemory_PCA</t>
  </si>
  <si>
    <t>EpisodicMemory_PCA</t>
  </si>
  <si>
    <t>Interference_PCA</t>
  </si>
  <si>
    <t>LinguisticClosure</t>
  </si>
  <si>
    <t>D1_SRT20_ESTOI</t>
  </si>
  <si>
    <t>D1_SRT50_ESTOI</t>
  </si>
  <si>
    <t>D1_SRT80_ESTOI</t>
  </si>
  <si>
    <t>D2_SRT20_ESTOI</t>
  </si>
  <si>
    <t>D2_SRT50_ESTOI</t>
  </si>
  <si>
    <t>D2_SRT80_ESTOI</t>
  </si>
  <si>
    <t>D3_SRT20_ESTOI</t>
  </si>
  <si>
    <t>D3_SRT50_ESTOI</t>
  </si>
  <si>
    <t>D3_SRT80_ESTOI</t>
  </si>
  <si>
    <t>Generalization_PCA</t>
  </si>
  <si>
    <t>SUBJ_ID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</si>
  <si>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</si>
  <si>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</si>
  <si>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</si>
  <si>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</si>
  <si>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</si>
  <si>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</si>
  <si>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</si>
  <si>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</si>
  <si>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</si>
  <si>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</si>
  <si>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</si>
  <si>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</si>
  <si>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</si>
  <si>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</si>
  <si>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</si>
  <si>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</si>
  <si>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</si>
  <si>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</si>
  <si>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</si>
  <si>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</si>
  <si>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</si>
  <si>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</si>
  <si>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</si>
  <si>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</si>
  <si>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</si>
  <si>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</si>
  <si>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</si>
  <si>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</si>
  <si>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</si>
  <si>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</si>
  <si>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</si>
  <si>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</si>
  <si>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</si>
  <si>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</si>
  <si>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</si>
  <si>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</si>
  <si>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</si>
  <si>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</si>
  <si>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</si>
  <si>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</si>
  <si>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zShortRecall</t>
  </si>
  <si>
    <t>zNumSeries</t>
  </si>
  <si>
    <t>zABDS</t>
  </si>
  <si>
    <t>zVBDS</t>
  </si>
  <si>
    <t>zDelayRecall</t>
  </si>
  <si>
    <t>zConnections_Alternating</t>
  </si>
  <si>
    <t>zStroop_Mismatch</t>
  </si>
  <si>
    <t>zCategoryFluency</t>
  </si>
  <si>
    <t>zBackwardCounting</t>
  </si>
  <si>
    <t>MD_Low</t>
  </si>
  <si>
    <t>MD_High</t>
  </si>
  <si>
    <t>MDI_Low</t>
  </si>
  <si>
    <t>MDI_High</t>
  </si>
  <si>
    <t>250 Hz</t>
  </si>
  <si>
    <t>500 Hz</t>
  </si>
  <si>
    <t>1000 Hz</t>
  </si>
  <si>
    <t>2000 Hz</t>
  </si>
  <si>
    <t>3000 Hz</t>
  </si>
  <si>
    <t>4000 Hz</t>
  </si>
  <si>
    <t>6000 Hz</t>
  </si>
  <si>
    <t>8000 Hz</t>
  </si>
  <si>
    <t>SSN</t>
  </si>
  <si>
    <t>SMN</t>
  </si>
  <si>
    <t>Glimpsing (SMN-SSN)</t>
  </si>
  <si>
    <t>Speech Modulation Detection/Interference (k)</t>
  </si>
  <si>
    <t>Audiogram (dB HL)</t>
  </si>
  <si>
    <t>Speech Recognition in Noise</t>
  </si>
  <si>
    <t>Predictor Measures</t>
  </si>
  <si>
    <t>Outcome Measures</t>
  </si>
  <si>
    <t>Summary Outcomes</t>
  </si>
  <si>
    <t>Subjects</t>
  </si>
  <si>
    <t>Dominance Summary</t>
  </si>
  <si>
    <t>Auditory Variables</t>
  </si>
  <si>
    <t>Cognitive Variables</t>
  </si>
  <si>
    <t>Primary Data</t>
  </si>
  <si>
    <t>Predictor &amp; Outcome Measures (including demographics)</t>
  </si>
  <si>
    <t>AuditoryVariables</t>
  </si>
  <si>
    <t>CognitiveVariables</t>
  </si>
  <si>
    <t>Predictors&amp;Outcomes</t>
  </si>
  <si>
    <t>Notes</t>
  </si>
  <si>
    <t>Predictor Measures and SRT values from Datasets #1-3</t>
  </si>
  <si>
    <t>Overall_PCA (Experimental)</t>
  </si>
  <si>
    <t>S2. Supporting Information</t>
  </si>
  <si>
    <t>Audiogram, Psychoacoustic Speech Modulation, Speech Glimpsing</t>
  </si>
  <si>
    <t>Cognitive results from BTACT and visual modality testing</t>
  </si>
  <si>
    <t>Dataset from: Fogerty D, Ahlstrom JB, Dubno JR. 2023. doi:10.1121/10.0023323. PMID:38031479.</t>
  </si>
  <si>
    <t>Dataset from: Fogerty D, Ahlstrom JB, Dubno JR. 2024. doi:10.1121/10.0028006. PMID:38696731. (Experiment 1)</t>
  </si>
  <si>
    <t>Dataset from: Fogerty D, Ahlstrom JB, Dubno JR. 2024. doi:10.1121/10.0028006. PMID:38696731. (Experiment 2)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</si>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</sst>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2" xfId="0" applyNumberFormat="1" applyFont="1" applyBorder="1"/>
    <xf numFmtId="165" fontId="3" fillId="0" borderId="0" xfId="0" applyNumberFormat="1" applyFont="1"/>
    <xf numFmtId="2" fontId="3" fillId="0" borderId="0" xfId="0" applyNumberFormat="1" applyFont="1"/>
    <xf numFmtId="9" fontId="0" fillId="0" borderId="0" xfId="1" applyFont="1" applyAlignment="1">
      <alignment horizontal="center"/>
    </xf>
    <xf numFmtId="166" fontId="1" fillId="0" borderId="0" xfId="0" applyNumberFormat="1" applyFont="1"/>
    <xf numFmtId="2" fontId="4" fillId="0" borderId="2" xfId="0" applyNumberFormat="1" applyFont="1" applyBorder="1"/>
    <xf numFmtId="2" fontId="4" fillId="0" borderId="3" xfId="0" applyNumberFormat="1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1" fillId="7" borderId="0" xfId="0" applyFont="1" applyFill="1"/>
    <xf numFmtId="0" fontId="4" fillId="7" borderId="0" xfId="0" applyFont="1" applyFill="1"/>
    <xf numFmtId="165" fontId="4" fillId="0" borderId="0" xfId="0" applyNumberFormat="1" applyFont="1"/>
    <xf numFmtId="0" fontId="0" fillId="8" borderId="0" xfId="0" applyFill="1"/>
    <xf numFmtId="0" fontId="1" fillId="8" borderId="0" xfId="0" applyFont="1" applyFill="1"/>
    <xf numFmtId="0" fontId="2" fillId="8" borderId="0" xfId="0" applyFont="1" applyFill="1"/>
    <xf numFmtId="0" fontId="4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1" fillId="0" borderId="0" xfId="0" applyNumberFormat="1" applyFont="1"/>
    <xf numFmtId="2" fontId="4" fillId="0" borderId="2" xfId="2" applyNumberFormat="1" applyFont="1" applyFill="1" applyBorder="1"/>
    <xf numFmtId="2" fontId="4" fillId="0" borderId="3" xfId="2" applyNumberFormat="1" applyFont="1" applyFill="1" applyBorder="1"/>
    <xf numFmtId="2" fontId="3" fillId="0" borderId="0" xfId="2" applyNumberFormat="1" applyFont="1" applyFill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2" fontId="4" fillId="0" borderId="0" xfId="0" applyNumberFormat="1" applyFont="1"/>
    <xf numFmtId="0" fontId="4" fillId="15" borderId="0" xfId="0" applyFont="1" applyFill="1"/>
    <xf numFmtId="0" fontId="3" fillId="15" borderId="0" xfId="0" applyFont="1" applyFill="1"/>
    <xf numFmtId="0" fontId="3" fillId="16" borderId="0" xfId="0" applyFont="1" applyFill="1"/>
    <xf numFmtId="0" fontId="4" fillId="16" borderId="0" xfId="0" applyFont="1" applyFill="1"/>
    <xf numFmtId="0" fontId="4" fillId="17" borderId="0" xfId="0" applyFont="1" applyFill="1"/>
    <xf numFmtId="0" fontId="7" fillId="0" borderId="0" xfId="0" applyFont="1" applyAlignment="1">
      <alignment horizontal="left" vertical="center" indent="2"/>
    </xf>
    <xf numFmtId="0" fontId="0" fillId="7" borderId="4" xfId="0" applyFill="1" applyBorder="1"/>
    <xf numFmtId="0" fontId="0" fillId="8" borderId="4" xfId="0" applyFill="1" applyBorder="1"/>
    <xf numFmtId="0" fontId="0" fillId="2" borderId="4" xfId="0" applyFill="1" applyBorder="1"/>
    <xf numFmtId="0" fontId="0" fillId="16" borderId="4" xfId="0" applyFill="1" applyBorder="1"/>
    <xf numFmtId="0" fontId="7" fillId="0" borderId="0" xfId="0" applyFont="1" applyAlignment="1">
      <alignment horizontal="left" vertical="center"/>
    </xf>
    <xf numFmtId="0" fontId="0" fillId="18" borderId="4" xfId="0" applyFill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0" borderId="0" xfId="0" applyAlignment="1">
      <alignment horizontal="left" indent="2"/>
    </xf>
    <xf numFmtId="0" fontId="0" fillId="0" borderId="4" xfId="0" applyBorder="1"/>
    <xf numFmtId="0" fontId="0" fillId="0" borderId="0" xfId="0" applyAlignment="1">
      <alignment horizontal="left" vertical="center"/>
    </xf>
    <xf numFmtId="0" fontId="1" fillId="20" borderId="5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1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Dominance_Summary!$D$18:$D$19</c:f>
              <c:strCache>
                <c:ptCount val="2"/>
                <c:pt idx="0">
                  <c:v>ONH</c:v>
                </c:pt>
                <c:pt idx="1">
                  <c:v>D1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Dominance_Summary!$D$20:$D$22</c:f>
              <c:numCache>
                <c:formatCode>0.00</c:formatCode>
                <c:ptCount val="3"/>
                <c:pt idx="0">
                  <c:v>7.0420833333333335E-2</c:v>
                </c:pt>
                <c:pt idx="1">
                  <c:v>0.11624850116090524</c:v>
                </c:pt>
                <c:pt idx="2">
                  <c:v>0.11862658333333331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4829-AEB5-84189437E71E}"/>
            </c:ext>
          </c:extLst>
        </c:ser>
        <c:ser>
          <c:idx val="1"/>
          <c:order val="1"/>
          <c:tx>
            <c:strRef>
              <c:f>Dominance_Summary!$E$18:$E$19</c:f>
              <c:strCache>
                <c:ptCount val="2"/>
                <c:pt idx="0">
                  <c:v>ONH</c:v>
                </c:pt>
                <c:pt idx="1">
                  <c:v>D2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Dominance_Summary!$E$20:$E$22</c:f>
              <c:numCache>
                <c:formatCode>0.00</c:formatCode>
                <c:ptCount val="3"/>
                <c:pt idx="0">
                  <c:v>5.927066666666668E-2</c:v>
                </c:pt>
                <c:pt idx="1">
                  <c:v>9.5987666666666679E-2</c:v>
                </c:pt>
                <c:pt idx="2">
                  <c:v>8.3832249999999997E-2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4829-AEB5-84189437E71E}"/>
            </c:ext>
          </c:extLst>
        </c:ser>
        <c:ser>
          <c:idx val="2"/>
          <c:order val="2"/>
          <c:tx>
            <c:strRef>
              <c:f>Dominance_Summary!$F$18:$F$19</c:f>
              <c:strCache>
                <c:ptCount val="2"/>
                <c:pt idx="0">
                  <c:v>ONH</c:v>
                </c:pt>
                <c:pt idx="1">
                  <c:v>D3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Dominance_Summary!$F$20:$F$22</c:f>
              <c:numCache>
                <c:formatCode>0.00</c:formatCode>
                <c:ptCount val="3"/>
                <c:pt idx="0">
                  <c:v>9.0341333333333343E-2</c:v>
                </c:pt>
                <c:pt idx="1">
                  <c:v>0.16910899999999995</c:v>
                </c:pt>
                <c:pt idx="2">
                  <c:v>0.20975166666666667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4829-AEB5-84189437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Dominance_Summary!$G$18:$G$19</c:f>
              <c:strCache>
                <c:ptCount val="2"/>
                <c:pt idx="0">
                  <c:v>ONH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Dominance_Summary!$G$20:$G$22</c:f>
              <c:numCache>
                <c:formatCode>0.00</c:formatCode>
                <c:ptCount val="3"/>
                <c:pt idx="0">
                  <c:v>7.3344277777777786E-2</c:v>
                </c:pt>
                <c:pt idx="1">
                  <c:v>0.12711505594252395</c:v>
                </c:pt>
                <c:pt idx="2">
                  <c:v>0.13740349999999998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3-4829-AEB5-84189437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35095130060402807"/>
          <c:h val="0.25409011373578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Dominance_Summary!$I$18:$I$19</c:f>
              <c:strCache>
                <c:ptCount val="2"/>
                <c:pt idx="0">
                  <c:v>OHI</c:v>
                </c:pt>
                <c:pt idx="1">
                  <c:v>D1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Dominance_Summary!$I$20:$I$22</c:f>
              <c:numCache>
                <c:formatCode>0.00</c:formatCode>
                <c:ptCount val="3"/>
                <c:pt idx="0">
                  <c:v>0.17987920833333335</c:v>
                </c:pt>
                <c:pt idx="1">
                  <c:v>0.12738737500000002</c:v>
                </c:pt>
                <c:pt idx="2">
                  <c:v>8.2179916666666644E-2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6-4330-9DE5-65F3D44D6BDF}"/>
            </c:ext>
          </c:extLst>
        </c:ser>
        <c:ser>
          <c:idx val="1"/>
          <c:order val="1"/>
          <c:tx>
            <c:strRef>
              <c:f>Dominance_Summary!$J$18:$J$19</c:f>
              <c:strCache>
                <c:ptCount val="2"/>
                <c:pt idx="0">
                  <c:v>OHI</c:v>
                </c:pt>
                <c:pt idx="1">
                  <c:v>D2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Dominance_Summary!$J$20:$J$22</c:f>
              <c:numCache>
                <c:formatCode>0.00</c:formatCode>
                <c:ptCount val="3"/>
                <c:pt idx="0">
                  <c:v>0.17565533333333336</c:v>
                </c:pt>
                <c:pt idx="1">
                  <c:v>0.17112712499999994</c:v>
                </c:pt>
                <c:pt idx="2">
                  <c:v>0.14209783333333334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6-4330-9DE5-65F3D44D6BDF}"/>
            </c:ext>
          </c:extLst>
        </c:ser>
        <c:ser>
          <c:idx val="2"/>
          <c:order val="2"/>
          <c:tx>
            <c:strRef>
              <c:f>Dominance_Summary!$K$18:$K$19</c:f>
              <c:strCache>
                <c:ptCount val="2"/>
                <c:pt idx="0">
                  <c:v>OHI</c:v>
                </c:pt>
                <c:pt idx="1">
                  <c:v>D3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Dominance_Summary!$K$20:$K$22</c:f>
              <c:numCache>
                <c:formatCode>0.00</c:formatCode>
                <c:ptCount val="3"/>
                <c:pt idx="0">
                  <c:v>0.13436995833333332</c:v>
                </c:pt>
                <c:pt idx="1">
                  <c:v>0.19803537499999999</c:v>
                </c:pt>
                <c:pt idx="2">
                  <c:v>0.20835324999999999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6-4330-9DE5-65F3D44D6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Dominance_Summary!$L$18:$L$19</c:f>
              <c:strCache>
                <c:ptCount val="2"/>
                <c:pt idx="0">
                  <c:v>OHI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Dominance_Summary!$C$20:$C$22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Dominance_Summary!$L$20:$L$22</c:f>
              <c:numCache>
                <c:formatCode>0.00</c:formatCode>
                <c:ptCount val="3"/>
                <c:pt idx="0">
                  <c:v>0.16330150000000002</c:v>
                </c:pt>
                <c:pt idx="1">
                  <c:v>0.16551662499999997</c:v>
                </c:pt>
                <c:pt idx="2">
                  <c:v>0.14421033333333333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66-4330-9DE5-65F3D44D6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35095130060402807"/>
          <c:h val="0.25409011373578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Dominance_Summary!$D$18:$D$19</c:f>
              <c:strCache>
                <c:ptCount val="2"/>
                <c:pt idx="0">
                  <c:v>ONH</c:v>
                </c:pt>
                <c:pt idx="1">
                  <c:v>D1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Dominance_Summary!$D$26:$D$28</c:f>
              <c:numCache>
                <c:formatCode>0.00</c:formatCode>
                <c:ptCount val="3"/>
                <c:pt idx="0">
                  <c:v>0.11485241666666668</c:v>
                </c:pt>
                <c:pt idx="1">
                  <c:v>0.22128050116090528</c:v>
                </c:pt>
                <c:pt idx="2">
                  <c:v>0.23979758333333334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A-420E-BE17-5FB33713BE84}"/>
            </c:ext>
          </c:extLst>
        </c:ser>
        <c:ser>
          <c:idx val="1"/>
          <c:order val="1"/>
          <c:tx>
            <c:strRef>
              <c:f>Dominance_Summary!$E$18:$E$19</c:f>
              <c:strCache>
                <c:ptCount val="2"/>
                <c:pt idx="0">
                  <c:v>ONH</c:v>
                </c:pt>
                <c:pt idx="1">
                  <c:v>D2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Dominance_Summary!$E$26:$E$28</c:f>
              <c:numCache>
                <c:formatCode>0.00</c:formatCode>
                <c:ptCount val="3"/>
                <c:pt idx="0">
                  <c:v>0.11674466666666668</c:v>
                </c:pt>
                <c:pt idx="1">
                  <c:v>0.20972858333333336</c:v>
                </c:pt>
                <c:pt idx="2">
                  <c:v>0.18161233333333329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A-420E-BE17-5FB33713BE84}"/>
            </c:ext>
          </c:extLst>
        </c:ser>
        <c:ser>
          <c:idx val="2"/>
          <c:order val="2"/>
          <c:tx>
            <c:strRef>
              <c:f>Dominance_Summary!$F$18:$F$19</c:f>
              <c:strCache>
                <c:ptCount val="2"/>
                <c:pt idx="0">
                  <c:v>ONH</c:v>
                </c:pt>
                <c:pt idx="1">
                  <c:v>D3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Dominance_Summary!$F$26:$F$28</c:f>
              <c:numCache>
                <c:formatCode>0.00</c:formatCode>
                <c:ptCount val="3"/>
                <c:pt idx="0">
                  <c:v>0.15676333333333331</c:v>
                </c:pt>
                <c:pt idx="1">
                  <c:v>0.19263374999999999</c:v>
                </c:pt>
                <c:pt idx="2">
                  <c:v>0.17722941666666667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A-420E-BE17-5FB33713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Dominance_Summary!$G$18:$G$19</c:f>
              <c:strCache>
                <c:ptCount val="2"/>
                <c:pt idx="0">
                  <c:v>ONH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Dominance_Summary!$G$26:$G$28</c:f>
              <c:numCache>
                <c:formatCode>0.00</c:formatCode>
                <c:ptCount val="3"/>
                <c:pt idx="0">
                  <c:v>0.12945347222222223</c:v>
                </c:pt>
                <c:pt idx="1">
                  <c:v>0.20788094483141287</c:v>
                </c:pt>
                <c:pt idx="2">
                  <c:v>0.19954644444444444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AA-420E-BE17-5FB33713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35095130060402807"/>
          <c:h val="0.25409011373578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Dominance_Summary!$I$18:$I$19</c:f>
              <c:strCache>
                <c:ptCount val="2"/>
                <c:pt idx="0">
                  <c:v>OHI</c:v>
                </c:pt>
                <c:pt idx="1">
                  <c:v>D1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Dominance_Summary!$I$26:$I$28</c:f>
              <c:numCache>
                <c:formatCode>0.00</c:formatCode>
                <c:ptCount val="3"/>
                <c:pt idx="0">
                  <c:v>0.12373270833333333</c:v>
                </c:pt>
                <c:pt idx="1">
                  <c:v>0.10546700000000001</c:v>
                </c:pt>
                <c:pt idx="2">
                  <c:v>8.6037874999999986E-2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F-436E-8DD6-C208CACB4413}"/>
            </c:ext>
          </c:extLst>
        </c:ser>
        <c:ser>
          <c:idx val="1"/>
          <c:order val="1"/>
          <c:tx>
            <c:strRef>
              <c:f>Dominance_Summary!$J$18:$J$19</c:f>
              <c:strCache>
                <c:ptCount val="2"/>
                <c:pt idx="0">
                  <c:v>OHI</c:v>
                </c:pt>
                <c:pt idx="1">
                  <c:v>D2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Dominance_Summary!$J$26:$J$28</c:f>
              <c:numCache>
                <c:formatCode>0.00</c:formatCode>
                <c:ptCount val="3"/>
                <c:pt idx="0">
                  <c:v>5.2044208333333307E-2</c:v>
                </c:pt>
                <c:pt idx="1">
                  <c:v>6.9568666666666668E-2</c:v>
                </c:pt>
                <c:pt idx="2">
                  <c:v>9.5626625000000021E-2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F-436E-8DD6-C208CACB4413}"/>
            </c:ext>
          </c:extLst>
        </c:ser>
        <c:ser>
          <c:idx val="2"/>
          <c:order val="2"/>
          <c:tx>
            <c:strRef>
              <c:f>Dominance_Summary!$K$18:$K$19</c:f>
              <c:strCache>
                <c:ptCount val="2"/>
                <c:pt idx="0">
                  <c:v>OHI</c:v>
                </c:pt>
                <c:pt idx="1">
                  <c:v>D3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Dominance_Summary!$K$26:$K$28</c:f>
              <c:numCache>
                <c:formatCode>0.00</c:formatCode>
                <c:ptCount val="3"/>
                <c:pt idx="0">
                  <c:v>6.0390791666666659E-2</c:v>
                </c:pt>
                <c:pt idx="1">
                  <c:v>0.13125541666666662</c:v>
                </c:pt>
                <c:pt idx="2">
                  <c:v>0.18567091666666666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F-436E-8DD6-C208CACB4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Dominance_Summary!$L$18:$L$19</c:f>
              <c:strCache>
                <c:ptCount val="2"/>
                <c:pt idx="0">
                  <c:v>OHI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Dominance_Summary!$C$26:$C$28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Dominance_Summary!$L$26:$L$28</c:f>
              <c:numCache>
                <c:formatCode>0.00</c:formatCode>
                <c:ptCount val="3"/>
                <c:pt idx="0">
                  <c:v>7.8722569444444432E-2</c:v>
                </c:pt>
                <c:pt idx="1">
                  <c:v>0.10209702777777778</c:v>
                </c:pt>
                <c:pt idx="2">
                  <c:v>0.1224451388888889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2F-436E-8DD6-C208CACB4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35095130060402807"/>
          <c:h val="0.25409011373578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Dominance_Summary!$D$18:$D$19</c:f>
              <c:strCache>
                <c:ptCount val="2"/>
                <c:pt idx="0">
                  <c:v>ONH</c:v>
                </c:pt>
                <c:pt idx="1">
                  <c:v>D1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Dominance_Summary!$D$32:$D$34</c:f>
              <c:numCache>
                <c:formatCode>0.00</c:formatCode>
                <c:ptCount val="3"/>
                <c:pt idx="0">
                  <c:v>3.6363416666666662E-2</c:v>
                </c:pt>
                <c:pt idx="1">
                  <c:v>9.5614163183950912E-2</c:v>
                </c:pt>
                <c:pt idx="2">
                  <c:v>9.2053916666666652E-2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4-4E6C-BDD4-D28AD2D38733}"/>
            </c:ext>
          </c:extLst>
        </c:ser>
        <c:ser>
          <c:idx val="1"/>
          <c:order val="1"/>
          <c:tx>
            <c:strRef>
              <c:f>Dominance_Summary!$E$18:$E$19</c:f>
              <c:strCache>
                <c:ptCount val="2"/>
                <c:pt idx="0">
                  <c:v>ONH</c:v>
                </c:pt>
                <c:pt idx="1">
                  <c:v>D2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Dominance_Summary!$E$32:$E$34</c:f>
              <c:numCache>
                <c:formatCode>0.00</c:formatCode>
                <c:ptCount val="3"/>
                <c:pt idx="0">
                  <c:v>1.0034249999999995E-2</c:v>
                </c:pt>
                <c:pt idx="1">
                  <c:v>6.3996583333333384E-2</c:v>
                </c:pt>
                <c:pt idx="2">
                  <c:v>0.11611558333333333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4-4E6C-BDD4-D28AD2D38733}"/>
            </c:ext>
          </c:extLst>
        </c:ser>
        <c:ser>
          <c:idx val="2"/>
          <c:order val="2"/>
          <c:tx>
            <c:strRef>
              <c:f>Dominance_Summary!$F$18:$F$19</c:f>
              <c:strCache>
                <c:ptCount val="2"/>
                <c:pt idx="0">
                  <c:v>ONH</c:v>
                </c:pt>
                <c:pt idx="1">
                  <c:v>D3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Dominance_Summary!$F$32:$F$34</c:f>
              <c:numCache>
                <c:formatCode>0.00</c:formatCode>
                <c:ptCount val="3"/>
                <c:pt idx="0">
                  <c:v>0.10351691666666669</c:v>
                </c:pt>
                <c:pt idx="1">
                  <c:v>0.118011</c:v>
                </c:pt>
                <c:pt idx="2">
                  <c:v>0.10152966666666664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4-4E6C-BDD4-D28AD2D38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Dominance_Summary!$G$18:$G$19</c:f>
              <c:strCache>
                <c:ptCount val="2"/>
                <c:pt idx="0">
                  <c:v>ONH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Dominance_Summary!$G$32:$G$34</c:f>
              <c:numCache>
                <c:formatCode>0.00</c:formatCode>
                <c:ptCount val="3"/>
                <c:pt idx="0">
                  <c:v>4.9971527777777781E-2</c:v>
                </c:pt>
                <c:pt idx="1">
                  <c:v>9.254058217242811E-2</c:v>
                </c:pt>
                <c:pt idx="2">
                  <c:v>0.10323305555555555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4-4E6C-BDD4-D28AD2D38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35095130060402807"/>
          <c:h val="0.25409011373578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Dominance_Summary!$I$18:$I$19</c:f>
              <c:strCache>
                <c:ptCount val="2"/>
                <c:pt idx="0">
                  <c:v>OHI</c:v>
                </c:pt>
                <c:pt idx="1">
                  <c:v>D1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Dominance_Summary!$I$32:$I$34</c:f>
              <c:numCache>
                <c:formatCode>0.00</c:formatCode>
                <c:ptCount val="3"/>
                <c:pt idx="0">
                  <c:v>0.31081816666666662</c:v>
                </c:pt>
                <c:pt idx="1">
                  <c:v>0.3316967500000001</c:v>
                </c:pt>
                <c:pt idx="2">
                  <c:v>0.27783083333333336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7-4A66-A935-991EB7D628FE}"/>
            </c:ext>
          </c:extLst>
        </c:ser>
        <c:ser>
          <c:idx val="1"/>
          <c:order val="1"/>
          <c:tx>
            <c:strRef>
              <c:f>Dominance_Summary!$J$18:$J$19</c:f>
              <c:strCache>
                <c:ptCount val="2"/>
                <c:pt idx="0">
                  <c:v>OHI</c:v>
                </c:pt>
                <c:pt idx="1">
                  <c:v>D2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Dominance_Summary!$J$32:$J$34</c:f>
              <c:numCache>
                <c:formatCode>0.00</c:formatCode>
                <c:ptCount val="3"/>
                <c:pt idx="0">
                  <c:v>0.28889683333333332</c:v>
                </c:pt>
                <c:pt idx="1">
                  <c:v>0.28495891666666662</c:v>
                </c:pt>
                <c:pt idx="2">
                  <c:v>0.24400833333333344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7-4A66-A935-991EB7D628FE}"/>
            </c:ext>
          </c:extLst>
        </c:ser>
        <c:ser>
          <c:idx val="2"/>
          <c:order val="2"/>
          <c:tx>
            <c:strRef>
              <c:f>Dominance_Summary!$K$18:$K$19</c:f>
              <c:strCache>
                <c:ptCount val="2"/>
                <c:pt idx="0">
                  <c:v>OHI</c:v>
                </c:pt>
                <c:pt idx="1">
                  <c:v>D3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Dominance_Summary!$K$32:$K$34</c:f>
              <c:numCache>
                <c:formatCode>0.00</c:formatCode>
                <c:ptCount val="3"/>
                <c:pt idx="0">
                  <c:v>0.23971133333333333</c:v>
                </c:pt>
                <c:pt idx="1">
                  <c:v>0.22552975000000003</c:v>
                </c:pt>
                <c:pt idx="2">
                  <c:v>0.15874258333333333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7-4A66-A935-991EB7D6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Dominance_Summary!$L$18:$L$19</c:f>
              <c:strCache>
                <c:ptCount val="2"/>
                <c:pt idx="0">
                  <c:v>OHI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Dominance_Summary!$C$32:$C$34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Dominance_Summary!$L$32:$L$34</c:f>
              <c:numCache>
                <c:formatCode>0.00</c:formatCode>
                <c:ptCount val="3"/>
                <c:pt idx="0">
                  <c:v>0.2798087777777778</c:v>
                </c:pt>
                <c:pt idx="1">
                  <c:v>0.28072847222222225</c:v>
                </c:pt>
                <c:pt idx="2">
                  <c:v>0.22686058333333339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67-4A66-A935-991EB7D6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Dominance_Summary!$D$18:$D$19</c:f>
              <c:strCache>
                <c:ptCount val="2"/>
                <c:pt idx="0">
                  <c:v>ONH</c:v>
                </c:pt>
                <c:pt idx="1">
                  <c:v>D1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Dominance_Summary!$D$38:$D$40</c:f>
              <c:numCache>
                <c:formatCode>0.00</c:formatCode>
                <c:ptCount val="3"/>
                <c:pt idx="0">
                  <c:v>0.16275066666666665</c:v>
                </c:pt>
                <c:pt idx="1">
                  <c:v>0.22806483449423859</c:v>
                </c:pt>
                <c:pt idx="2">
                  <c:v>0.25902608333333332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0-4F75-B8FD-07E93B7E4F26}"/>
            </c:ext>
          </c:extLst>
        </c:ser>
        <c:ser>
          <c:idx val="1"/>
          <c:order val="1"/>
          <c:tx>
            <c:strRef>
              <c:f>Dominance_Summary!$E$18:$E$19</c:f>
              <c:strCache>
                <c:ptCount val="2"/>
                <c:pt idx="0">
                  <c:v>ONH</c:v>
                </c:pt>
                <c:pt idx="1">
                  <c:v>D2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Dominance_Summary!$E$38:$E$40</c:f>
              <c:numCache>
                <c:formatCode>0.00</c:formatCode>
                <c:ptCount val="3"/>
                <c:pt idx="0">
                  <c:v>0.24441658333333333</c:v>
                </c:pt>
                <c:pt idx="1">
                  <c:v>0.32173533333333337</c:v>
                </c:pt>
                <c:pt idx="2">
                  <c:v>0.20683333333333337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0-4F75-B8FD-07E93B7E4F26}"/>
            </c:ext>
          </c:extLst>
        </c:ser>
        <c:ser>
          <c:idx val="2"/>
          <c:order val="2"/>
          <c:tx>
            <c:strRef>
              <c:f>Dominance_Summary!$F$18:$F$19</c:f>
              <c:strCache>
                <c:ptCount val="2"/>
                <c:pt idx="0">
                  <c:v>ONH</c:v>
                </c:pt>
                <c:pt idx="1">
                  <c:v>D3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Dominance_Summary!$F$38:$F$40</c:f>
              <c:numCache>
                <c:formatCode>0.00</c:formatCode>
                <c:ptCount val="3"/>
                <c:pt idx="0">
                  <c:v>0.36858358333333341</c:v>
                </c:pt>
                <c:pt idx="1">
                  <c:v>0.28108091666666668</c:v>
                </c:pt>
                <c:pt idx="2">
                  <c:v>0.15482391666666667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0-4F75-B8FD-07E93B7E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Dominance_Summary!$G$18:$G$19</c:f>
              <c:strCache>
                <c:ptCount val="2"/>
                <c:pt idx="0">
                  <c:v>ONH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Dominance_Summary!$G$38:$G$40</c:f>
              <c:numCache>
                <c:formatCode>0.00</c:formatCode>
                <c:ptCount val="3"/>
                <c:pt idx="0">
                  <c:v>0.25858361111111111</c:v>
                </c:pt>
                <c:pt idx="1">
                  <c:v>0.27696036149807951</c:v>
                </c:pt>
                <c:pt idx="2">
                  <c:v>0.20689444444444446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60-4F75-B8FD-07E93B7E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Dominance_Summary!$I$18:$I$19</c:f>
              <c:strCache>
                <c:ptCount val="2"/>
                <c:pt idx="0">
                  <c:v>OHI</c:v>
                </c:pt>
                <c:pt idx="1">
                  <c:v>D1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Dominance_Summary!$I$38:$I$40</c:f>
              <c:numCache>
                <c:formatCode>0.00</c:formatCode>
                <c:ptCount val="3"/>
                <c:pt idx="0">
                  <c:v>0.19311533333333339</c:v>
                </c:pt>
                <c:pt idx="1">
                  <c:v>0.14426908333333327</c:v>
                </c:pt>
                <c:pt idx="2">
                  <c:v>6.3424416666666678E-2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9-41B6-B060-8FC541E9498A}"/>
            </c:ext>
          </c:extLst>
        </c:ser>
        <c:ser>
          <c:idx val="1"/>
          <c:order val="1"/>
          <c:tx>
            <c:strRef>
              <c:f>Dominance_Summary!$J$18:$J$19</c:f>
              <c:strCache>
                <c:ptCount val="2"/>
                <c:pt idx="0">
                  <c:v>OHI</c:v>
                </c:pt>
                <c:pt idx="1">
                  <c:v>D2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Dominance_Summary!$J$38:$J$40</c:f>
              <c:numCache>
                <c:formatCode>0.00</c:formatCode>
                <c:ptCount val="3"/>
                <c:pt idx="0">
                  <c:v>0.3152476666666667</c:v>
                </c:pt>
                <c:pt idx="1">
                  <c:v>0.40273999999999999</c:v>
                </c:pt>
                <c:pt idx="2">
                  <c:v>0.41097275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9-41B6-B060-8FC541E9498A}"/>
            </c:ext>
          </c:extLst>
        </c:ser>
        <c:ser>
          <c:idx val="2"/>
          <c:order val="2"/>
          <c:tx>
            <c:strRef>
              <c:f>Dominance_Summary!$K$18:$K$19</c:f>
              <c:strCache>
                <c:ptCount val="2"/>
                <c:pt idx="0">
                  <c:v>OHI</c:v>
                </c:pt>
                <c:pt idx="1">
                  <c:v>D3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Dominance_Summary!$K$38:$K$40</c:f>
              <c:numCache>
                <c:formatCode>0.00</c:formatCode>
                <c:ptCount val="3"/>
                <c:pt idx="0">
                  <c:v>0.30740816666666659</c:v>
                </c:pt>
                <c:pt idx="1">
                  <c:v>0.31276816666666668</c:v>
                </c:pt>
                <c:pt idx="2">
                  <c:v>0.23602466666666669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9-41B6-B060-8FC541E94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lineChart>
        <c:grouping val="standard"/>
        <c:varyColors val="0"/>
        <c:ser>
          <c:idx val="3"/>
          <c:order val="3"/>
          <c:tx>
            <c:strRef>
              <c:f>Dominance_Summary!$L$18:$L$19</c:f>
              <c:strCache>
                <c:ptCount val="2"/>
                <c:pt idx="0">
                  <c:v>OHI</c:v>
                </c:pt>
                <c:pt idx="1">
                  <c:v>MEAN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Dominance_Summary!$C$38:$C$40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Dominance_Summary!$L$38:$L$40</c:f>
              <c:numCache>
                <c:formatCode>0.00</c:formatCode>
                <c:ptCount val="3"/>
                <c:pt idx="0">
                  <c:v>0.27192372222222222</c:v>
                </c:pt>
                <c:pt idx="1">
                  <c:v>0.28659241666666663</c:v>
                </c:pt>
                <c:pt idx="2">
                  <c:v>0.23680727777777777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9-41B6-B060-8FC541E94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95112"/>
        <c:axId val="556890184"/>
      </c:line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valAx>
        <c:axId val="556890184"/>
        <c:scaling>
          <c:orientation val="minMax"/>
          <c:max val="0.5"/>
        </c:scaling>
        <c:delete val="0"/>
        <c:axPos val="r"/>
        <c:numFmt formatCode="0.00" sourceLinked="1"/>
        <c:majorTickMark val="in"/>
        <c:minorTickMark val="none"/>
        <c:tickLblPos val="none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12"/>
        <c:crosses val="max"/>
        <c:crossBetween val="between"/>
        <c:majorUnit val="0.1"/>
      </c:valAx>
      <c:catAx>
        <c:axId val="556895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890184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Dominance_Summary!$D$4:$D$6</c:f>
              <c:numCache>
                <c:formatCode>0.00</c:formatCode>
                <c:ptCount val="3"/>
                <c:pt idx="0">
                  <c:v>0.16275066666666665</c:v>
                </c:pt>
                <c:pt idx="1">
                  <c:v>0.22806483449423859</c:v>
                </c:pt>
                <c:pt idx="2">
                  <c:v>0.25902608333333332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1-4A1B-AE08-C69DBC8064C3}"/>
            </c:ext>
          </c:extLst>
        </c:ser>
        <c:ser>
          <c:idx val="3"/>
          <c:order val="1"/>
          <c:tx>
            <c:strRef>
              <c:f>Dominance_Summary!$G$3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Dominance_Summary!$G$4:$G$6</c:f>
              <c:numCache>
                <c:formatCode>0.00</c:formatCode>
                <c:ptCount val="3"/>
                <c:pt idx="0">
                  <c:v>3.6363416666666662E-2</c:v>
                </c:pt>
                <c:pt idx="1">
                  <c:v>9.5614163183950912E-2</c:v>
                </c:pt>
                <c:pt idx="2">
                  <c:v>9.2053916666666652E-2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A1-4A1B-AE08-C69DBC8064C3}"/>
            </c:ext>
          </c:extLst>
        </c:ser>
        <c:ser>
          <c:idx val="1"/>
          <c:order val="2"/>
          <c:tx>
            <c:strRef>
              <c:f>Dominance_Summary!$E$3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Dominance_Summary!$E$4:$E$6</c:f>
              <c:numCache>
                <c:formatCode>0.00</c:formatCode>
                <c:ptCount val="3"/>
                <c:pt idx="0">
                  <c:v>7.0420833333333335E-2</c:v>
                </c:pt>
                <c:pt idx="1">
                  <c:v>0.11624850116090524</c:v>
                </c:pt>
                <c:pt idx="2">
                  <c:v>0.11862658333333331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1-4A1B-AE08-C69DBC8064C3}"/>
            </c:ext>
          </c:extLst>
        </c:ser>
        <c:ser>
          <c:idx val="2"/>
          <c:order val="3"/>
          <c:tx>
            <c:strRef>
              <c:f>Dominance_Summary!$F$3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Dominance_Summary!$F$4:$F$6</c:f>
              <c:numCache>
                <c:formatCode>0.00</c:formatCode>
                <c:ptCount val="3"/>
                <c:pt idx="0">
                  <c:v>0.11485241666666668</c:v>
                </c:pt>
                <c:pt idx="1">
                  <c:v>0.22128050116090528</c:v>
                </c:pt>
                <c:pt idx="2">
                  <c:v>0.23979758333333334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1-4A1B-AE08-C69DBC806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4392563086403282"/>
          <c:y val="6.9984049746547164E-2"/>
          <c:w val="0.52118667424844645"/>
          <c:h val="0.27258712078347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Dominance_Summary!$L$3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Dominance_Summary!$L$4:$L$6</c:f>
              <c:numCache>
                <c:formatCode>0.00</c:formatCode>
                <c:ptCount val="3"/>
                <c:pt idx="0">
                  <c:v>0.19311533333333339</c:v>
                </c:pt>
                <c:pt idx="1">
                  <c:v>0.14426908333333327</c:v>
                </c:pt>
                <c:pt idx="2">
                  <c:v>6.3424416666666678E-2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7-4630-AC1D-8A50AEA17295}"/>
            </c:ext>
          </c:extLst>
        </c:ser>
        <c:ser>
          <c:idx val="3"/>
          <c:order val="1"/>
          <c:tx>
            <c:strRef>
              <c:f>Dominance_Summary!$O$3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Dominance_Summary!$O$4:$O$6</c:f>
              <c:numCache>
                <c:formatCode>0.00</c:formatCode>
                <c:ptCount val="3"/>
                <c:pt idx="0">
                  <c:v>0.31081816666666662</c:v>
                </c:pt>
                <c:pt idx="1">
                  <c:v>0.3316967500000001</c:v>
                </c:pt>
                <c:pt idx="2">
                  <c:v>0.27783083333333336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7-4630-AC1D-8A50AEA17295}"/>
            </c:ext>
          </c:extLst>
        </c:ser>
        <c:ser>
          <c:idx val="1"/>
          <c:order val="2"/>
          <c:tx>
            <c:strRef>
              <c:f>Dominance_Summary!$M$3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Dominance_Summary!$M$4:$M$6</c:f>
              <c:numCache>
                <c:formatCode>0.00</c:formatCode>
                <c:ptCount val="3"/>
                <c:pt idx="0">
                  <c:v>0.17987920833333335</c:v>
                </c:pt>
                <c:pt idx="1">
                  <c:v>0.12738737500000002</c:v>
                </c:pt>
                <c:pt idx="2">
                  <c:v>8.2179916666666644E-2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7-4630-AC1D-8A50AEA17295}"/>
            </c:ext>
          </c:extLst>
        </c:ser>
        <c:ser>
          <c:idx val="2"/>
          <c:order val="3"/>
          <c:tx>
            <c:strRef>
              <c:f>Dominance_Summary!$N$3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Dominance_Summary!$C$4:$C$6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Dominance_Summary!$N$4:$N$6</c:f>
              <c:numCache>
                <c:formatCode>0.00</c:formatCode>
                <c:ptCount val="3"/>
                <c:pt idx="0">
                  <c:v>0.12373270833333333</c:v>
                </c:pt>
                <c:pt idx="1">
                  <c:v>0.10546700000000001</c:v>
                </c:pt>
                <c:pt idx="2">
                  <c:v>8.6037874999999986E-2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7-4630-AC1D-8A50AEA17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26234819516893637"/>
          <c:y val="6.9983960338291115E-2"/>
          <c:w val="0.43268220931514478"/>
          <c:h val="0.2507292066911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Dominance_Summary!$D$9:$D$11</c:f>
              <c:numCache>
                <c:formatCode>0.00</c:formatCode>
                <c:ptCount val="3"/>
                <c:pt idx="0">
                  <c:v>0.24441658333333333</c:v>
                </c:pt>
                <c:pt idx="1">
                  <c:v>0.32173533333333337</c:v>
                </c:pt>
                <c:pt idx="2">
                  <c:v>0.20683333333333337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2-40DE-A921-F8C59C205CA6}"/>
            </c:ext>
          </c:extLst>
        </c:ser>
        <c:ser>
          <c:idx val="3"/>
          <c:order val="1"/>
          <c:tx>
            <c:strRef>
              <c:f>Dominance_Summary!$G$3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Dominance_Summary!$G$9:$G$11</c:f>
              <c:numCache>
                <c:formatCode>0.00</c:formatCode>
                <c:ptCount val="3"/>
                <c:pt idx="0">
                  <c:v>1.0034249999999995E-2</c:v>
                </c:pt>
                <c:pt idx="1">
                  <c:v>6.3996583333333384E-2</c:v>
                </c:pt>
                <c:pt idx="2">
                  <c:v>0.11611558333333333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2-40DE-A921-F8C59C205CA6}"/>
            </c:ext>
          </c:extLst>
        </c:ser>
        <c:ser>
          <c:idx val="1"/>
          <c:order val="2"/>
          <c:tx>
            <c:strRef>
              <c:f>Dominance_Summary!$E$3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Dominance_Summary!$E$9:$E$11</c:f>
              <c:numCache>
                <c:formatCode>0.00</c:formatCode>
                <c:ptCount val="3"/>
                <c:pt idx="0">
                  <c:v>5.927066666666668E-2</c:v>
                </c:pt>
                <c:pt idx="1">
                  <c:v>9.5987666666666679E-2</c:v>
                </c:pt>
                <c:pt idx="2">
                  <c:v>8.3832249999999997E-2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2-40DE-A921-F8C59C205CA6}"/>
            </c:ext>
          </c:extLst>
        </c:ser>
        <c:ser>
          <c:idx val="2"/>
          <c:order val="3"/>
          <c:tx>
            <c:strRef>
              <c:f>Dominance_Summary!$F$3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Dominance_Summary!$F$9:$F$11</c:f>
              <c:numCache>
                <c:formatCode>0.00</c:formatCode>
                <c:ptCount val="3"/>
                <c:pt idx="0">
                  <c:v>0.11674466666666668</c:v>
                </c:pt>
                <c:pt idx="1">
                  <c:v>0.20972858333333336</c:v>
                </c:pt>
                <c:pt idx="2">
                  <c:v>0.18161233333333329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2-40DE-A921-F8C59C20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Dominance_Summary!$L$3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Dominance_Summary!$L$9:$L$11</c:f>
              <c:numCache>
                <c:formatCode>0.00</c:formatCode>
                <c:ptCount val="3"/>
                <c:pt idx="0">
                  <c:v>0.3152476666666667</c:v>
                </c:pt>
                <c:pt idx="1">
                  <c:v>0.40273999999999999</c:v>
                </c:pt>
                <c:pt idx="2">
                  <c:v>0.41097275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7-4939-837D-368214A7D597}"/>
            </c:ext>
          </c:extLst>
        </c:ser>
        <c:ser>
          <c:idx val="3"/>
          <c:order val="1"/>
          <c:tx>
            <c:strRef>
              <c:f>Dominance_Summary!$O$3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Dominance_Summary!$O$9:$O$11</c:f>
              <c:numCache>
                <c:formatCode>0.00</c:formatCode>
                <c:ptCount val="3"/>
                <c:pt idx="0">
                  <c:v>0.28889683333333332</c:v>
                </c:pt>
                <c:pt idx="1">
                  <c:v>0.28495891666666662</c:v>
                </c:pt>
                <c:pt idx="2">
                  <c:v>0.24400833333333344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E7-4939-837D-368214A7D597}"/>
            </c:ext>
          </c:extLst>
        </c:ser>
        <c:ser>
          <c:idx val="1"/>
          <c:order val="2"/>
          <c:tx>
            <c:strRef>
              <c:f>Dominance_Summary!$M$3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Dominance_Summary!$M$9:$M$11</c:f>
              <c:numCache>
                <c:formatCode>0.00</c:formatCode>
                <c:ptCount val="3"/>
                <c:pt idx="0">
                  <c:v>0.17565533333333336</c:v>
                </c:pt>
                <c:pt idx="1">
                  <c:v>0.17112712499999994</c:v>
                </c:pt>
                <c:pt idx="2">
                  <c:v>0.14209783333333334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7-4939-837D-368214A7D597}"/>
            </c:ext>
          </c:extLst>
        </c:ser>
        <c:ser>
          <c:idx val="2"/>
          <c:order val="3"/>
          <c:tx>
            <c:strRef>
              <c:f>Dominance_Summary!$N$3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Dominance_Summary!$C$9:$C$11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Dominance_Summary!$N$9:$N$11</c:f>
              <c:numCache>
                <c:formatCode>0.00</c:formatCode>
                <c:ptCount val="3"/>
                <c:pt idx="0">
                  <c:v>5.2044208333333307E-2</c:v>
                </c:pt>
                <c:pt idx="1">
                  <c:v>6.9568666666666668E-2</c:v>
                </c:pt>
                <c:pt idx="2">
                  <c:v>9.5626625000000021E-2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E7-4939-837D-368214A7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Dominance_Summary!$D$3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Dominance_Summary!$D$14:$D$16</c:f>
              <c:numCache>
                <c:formatCode>0.00</c:formatCode>
                <c:ptCount val="3"/>
                <c:pt idx="0">
                  <c:v>0.36858358333333341</c:v>
                </c:pt>
                <c:pt idx="1">
                  <c:v>0.28108091666666668</c:v>
                </c:pt>
                <c:pt idx="2">
                  <c:v>0.15482391666666667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5-4085-B2EB-29DA61F9E8A8}"/>
            </c:ext>
          </c:extLst>
        </c:ser>
        <c:ser>
          <c:idx val="3"/>
          <c:order val="1"/>
          <c:tx>
            <c:strRef>
              <c:f>Dominance_Summary!$G$3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Dominance_Summary!$G$14:$G$16</c:f>
              <c:numCache>
                <c:formatCode>0.00</c:formatCode>
                <c:ptCount val="3"/>
                <c:pt idx="0">
                  <c:v>0.10351691666666669</c:v>
                </c:pt>
                <c:pt idx="1">
                  <c:v>0.118011</c:v>
                </c:pt>
                <c:pt idx="2">
                  <c:v>0.10152966666666664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5-4085-B2EB-29DA61F9E8A8}"/>
            </c:ext>
          </c:extLst>
        </c:ser>
        <c:ser>
          <c:idx val="1"/>
          <c:order val="2"/>
          <c:tx>
            <c:strRef>
              <c:f>Dominance_Summary!$E$3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Dominance_Summary!$E$14:$E$16</c:f>
              <c:numCache>
                <c:formatCode>0.00</c:formatCode>
                <c:ptCount val="3"/>
                <c:pt idx="0">
                  <c:v>9.0341333333333343E-2</c:v>
                </c:pt>
                <c:pt idx="1">
                  <c:v>0.16910899999999995</c:v>
                </c:pt>
                <c:pt idx="2">
                  <c:v>0.20975166666666667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5-4085-B2EB-29DA61F9E8A8}"/>
            </c:ext>
          </c:extLst>
        </c:ser>
        <c:ser>
          <c:idx val="2"/>
          <c:order val="3"/>
          <c:tx>
            <c:strRef>
              <c:f>Dominance_Summary!$F$3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Dominance_Summary!$F$14:$F$16</c:f>
              <c:numCache>
                <c:formatCode>0.00</c:formatCode>
                <c:ptCount val="3"/>
                <c:pt idx="0">
                  <c:v>0.15676333333333331</c:v>
                </c:pt>
                <c:pt idx="1">
                  <c:v>0.19263374999999999</c:v>
                </c:pt>
                <c:pt idx="2">
                  <c:v>0.17722941666666667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5-4085-B2EB-29DA61F9E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0280835310978"/>
          <c:y val="5.2824074074074072E-2"/>
          <c:w val="0.69983513980840528"/>
          <c:h val="0.81351815398075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Dominance_Summary!$L$3</c:f>
              <c:strCache>
                <c:ptCount val="1"/>
                <c:pt idx="0">
                  <c:v>Audiogram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Dominance_Summary!$L$14:$L$16</c:f>
              <c:numCache>
                <c:formatCode>0.00</c:formatCode>
                <c:ptCount val="3"/>
                <c:pt idx="0">
                  <c:v>0.30740816666666659</c:v>
                </c:pt>
                <c:pt idx="1">
                  <c:v>0.31276816666666668</c:v>
                </c:pt>
                <c:pt idx="2">
                  <c:v>0.23602466666666669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6-45CA-954B-42DEC96BDC24}"/>
            </c:ext>
          </c:extLst>
        </c:ser>
        <c:ser>
          <c:idx val="3"/>
          <c:order val="1"/>
          <c:tx>
            <c:strRef>
              <c:f>Dominance_Summary!$O$3</c:f>
              <c:strCache>
                <c:ptCount val="1"/>
                <c:pt idx="0">
                  <c:v>Glimpsing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Dominance_Summary!$O$14:$O$16</c:f>
              <c:numCache>
                <c:formatCode>0.00</c:formatCode>
                <c:ptCount val="3"/>
                <c:pt idx="0">
                  <c:v>0.23971133333333333</c:v>
                </c:pt>
                <c:pt idx="1">
                  <c:v>0.22552975000000003</c:v>
                </c:pt>
                <c:pt idx="2">
                  <c:v>0.15874258333333333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E6-45CA-954B-42DEC96BDC24}"/>
            </c:ext>
          </c:extLst>
        </c:ser>
        <c:ser>
          <c:idx val="1"/>
          <c:order val="2"/>
          <c:tx>
            <c:strRef>
              <c:f>Dominance_Summary!$M$3</c:f>
              <c:strCache>
                <c:ptCount val="1"/>
                <c:pt idx="0">
                  <c:v>Working Memory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Dominance_Summary!$M$14:$M$16</c:f>
              <c:numCache>
                <c:formatCode>0.00</c:formatCode>
                <c:ptCount val="3"/>
                <c:pt idx="0">
                  <c:v>0.13436995833333332</c:v>
                </c:pt>
                <c:pt idx="1">
                  <c:v>0.19803537499999999</c:v>
                </c:pt>
                <c:pt idx="2">
                  <c:v>0.20835324999999999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6-45CA-954B-42DEC96BDC24}"/>
            </c:ext>
          </c:extLst>
        </c:ser>
        <c:ser>
          <c:idx val="2"/>
          <c:order val="3"/>
          <c:tx>
            <c:strRef>
              <c:f>Dominance_Summary!$N$3</c:f>
              <c:strCache>
                <c:ptCount val="1"/>
                <c:pt idx="0">
                  <c:v>Vocabulary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Dominance_Summary!$C$14:$C$16</c:f>
              <c:strCache>
                <c:ptCount val="3"/>
                <c:pt idx="0">
                  <c:v>SRT20</c:v>
                </c:pt>
                <c:pt idx="1">
                  <c:v>SRT50</c:v>
                </c:pt>
                <c:pt idx="2">
                  <c:v>SRT80</c:v>
                </c:pt>
              </c:strCache>
            </c:strRef>
          </c:cat>
          <c:val>
            <c:numRef>
              <c:f>Dominance_Summary!$N$14:$N$16</c:f>
              <c:numCache>
                <c:formatCode>0.00</c:formatCode>
                <c:ptCount val="3"/>
                <c:pt idx="0">
                  <c:v>6.0390791666666659E-2</c:v>
                </c:pt>
                <c:pt idx="1">
                  <c:v>0.13125541666666662</c:v>
                </c:pt>
                <c:pt idx="2">
                  <c:v>0.18567091666666666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6-45CA-954B-42DEC96B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30448"/>
        <c:axId val="596030800"/>
      </c:barChart>
      <c:catAx>
        <c:axId val="5960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800"/>
        <c:crosses val="autoZero"/>
        <c:auto val="1"/>
        <c:lblAlgn val="ctr"/>
        <c:lblOffset val="100"/>
        <c:noMultiLvlLbl val="0"/>
      </c:catAx>
      <c:valAx>
        <c:axId val="596030800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Proportion of Total Variance Explained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30448"/>
        <c:crosses val="autoZero"/>
        <c:crossBetween val="between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18</xdr:row>
      <xdr:rowOff>28574</xdr:rowOff>
    </xdr:from>
    <xdr:to>
      <xdr:col>17</xdr:col>
      <xdr:colOff>185738</xdr:colOff>
      <xdr:row>30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95D2F-86F8-40EC-A960-6BCD59CB1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180975</xdr:colOff>
      <xdr:row>18</xdr:row>
      <xdr:rowOff>57150</xdr:rowOff>
    </xdr:from>
    <xdr:to>
      <xdr:col>21</xdr:col>
      <xdr:colOff>500063</xdr:colOff>
      <xdr:row>30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576F14-545B-4ED2-AC2A-331808792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476250</xdr:colOff>
      <xdr:row>30</xdr:row>
      <xdr:rowOff>57150</xdr:rowOff>
    </xdr:from>
    <xdr:to>
      <xdr:col>17</xdr:col>
      <xdr:colOff>185738</xdr:colOff>
      <xdr:row>42</xdr:row>
      <xdr:rowOff>95251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2E405-6F49-45FA-A607-0F35158CB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180975</xdr:colOff>
      <xdr:row>30</xdr:row>
      <xdr:rowOff>47625</xdr:rowOff>
    </xdr:from>
    <xdr:to>
      <xdr:col>21</xdr:col>
      <xdr:colOff>500063</xdr:colOff>
      <xdr:row>42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382A4D-FADC-427F-9B2D-06ED71EF9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476250</xdr:colOff>
      <xdr:row>42</xdr:row>
      <xdr:rowOff>133350</xdr:rowOff>
    </xdr:from>
    <xdr:to>
      <xdr:col>17</xdr:col>
      <xdr:colOff>185738</xdr:colOff>
      <xdr:row>54</xdr:row>
      <xdr:rowOff>171451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FFF60D-884E-4AB2-B49B-37C9FC9B1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180975</xdr:colOff>
      <xdr:row>42</xdr:row>
      <xdr:rowOff>95250</xdr:rowOff>
    </xdr:from>
    <xdr:to>
      <xdr:col>21</xdr:col>
      <xdr:colOff>500063</xdr:colOff>
      <xdr:row>54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D1FD31-7937-4AFE-8918-C4E5596BE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476250</xdr:colOff>
      <xdr:row>55</xdr:row>
      <xdr:rowOff>19050</xdr:rowOff>
    </xdr:from>
    <xdr:to>
      <xdr:col>17</xdr:col>
      <xdr:colOff>185738</xdr:colOff>
      <xdr:row>67</xdr:row>
      <xdr:rowOff>57151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25BD62-7DE2-4323-B4AD-3195377C4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180975</xdr:colOff>
      <xdr:row>54</xdr:row>
      <xdr:rowOff>180975</xdr:rowOff>
    </xdr:from>
    <xdr:to>
      <xdr:col>21</xdr:col>
      <xdr:colOff>500063</xdr:colOff>
      <xdr:row>67</xdr:row>
      <xdr:rowOff>28576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02E83E-503C-49E2-9D25-8A74AD1B2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495300</xdr:colOff>
      <xdr:row>0</xdr:row>
      <xdr:rowOff>161925</xdr:rowOff>
    </xdr:from>
    <xdr:to>
      <xdr:col>27</xdr:col>
      <xdr:colOff>204788</xdr:colOff>
      <xdr:row>13</xdr:row>
      <xdr:rowOff>9526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69F579-8828-4F75-A14E-476C50236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228600</xdr:colOff>
      <xdr:row>1</xdr:row>
      <xdr:rowOff>0</xdr:rowOff>
    </xdr:from>
    <xdr:to>
      <xdr:col>31</xdr:col>
      <xdr:colOff>547688</xdr:colOff>
      <xdr:row>13</xdr:row>
      <xdr:rowOff>38101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21AE5C4-5090-4832-BB8F-04F3F95E1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495300</xdr:colOff>
      <xdr:row>13</xdr:row>
      <xdr:rowOff>66675</xdr:rowOff>
    </xdr:from>
    <xdr:to>
      <xdr:col>27</xdr:col>
      <xdr:colOff>204788</xdr:colOff>
      <xdr:row>25</xdr:row>
      <xdr:rowOff>104776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96AA0E-29AD-4EF4-A691-68D7CD0F7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228600</xdr:colOff>
      <xdr:row>13</xdr:row>
      <xdr:rowOff>95250</xdr:rowOff>
    </xdr:from>
    <xdr:to>
      <xdr:col>31</xdr:col>
      <xdr:colOff>547688</xdr:colOff>
      <xdr:row>25</xdr:row>
      <xdr:rowOff>133351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87DB17-E60C-4349-91C5-3F129A422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495300</xdr:colOff>
      <xdr:row>25</xdr:row>
      <xdr:rowOff>133350</xdr:rowOff>
    </xdr:from>
    <xdr:to>
      <xdr:col>27</xdr:col>
      <xdr:colOff>204788</xdr:colOff>
      <xdr:row>37</xdr:row>
      <xdr:rowOff>171451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50117F-2D62-441A-AD9E-F65968BD4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228600</xdr:colOff>
      <xdr:row>25</xdr:row>
      <xdr:rowOff>161925</xdr:rowOff>
    </xdr:from>
    <xdr:to>
      <xdr:col>31</xdr:col>
      <xdr:colOff>547688</xdr:colOff>
      <xdr:row>38</xdr:row>
      <xdr:rowOff>9526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CDAFE67-3A9C-41BC-B1FE-644B4D155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E0CF-DA88-4EFE-B44B-2BE7E4CB571E}">
  <sheetPr>
    <tabColor theme="1"/>
  </sheetPr>
  <dimension ref="B1:D17"/>
  <sheetViews>
    <sheetView tabSelected="1" workbookViewId="0"/>
  </sheetViews>
  <sheetFormatPr defaultRowHeight="15" x14ac:dyDescent="0.25"/>
  <cols>
    <col min="1" max="1" width="5.85546875" customWidth="1"/>
    <col min="2" max="2" width="54.7109375" customWidth="1"/>
    <col min="3" max="3" width="27.28515625" bestFit="1" customWidth="1"/>
    <col min="4" max="4" width="100.42578125" bestFit="1" customWidth="1"/>
  </cols>
  <sheetData>
    <row r="1" spans="2:4" x14ac:dyDescent="0.25">
      <c r="B1" s="1" t="s">
        <v>156</v>
      </c>
    </row>
    <row r="3" spans="2:4" x14ac:dyDescent="0.25">
      <c r="B3" s="1" t="s">
        <v>39</v>
      </c>
    </row>
    <row r="4" spans="2:4" x14ac:dyDescent="0.25">
      <c r="B4" t="s">
        <v>40</v>
      </c>
    </row>
    <row r="6" spans="2:4" x14ac:dyDescent="0.25">
      <c r="B6" s="1" t="s">
        <v>148</v>
      </c>
      <c r="C6" s="1" t="s">
        <v>41</v>
      </c>
      <c r="D6" s="1" t="s">
        <v>153</v>
      </c>
    </row>
    <row r="7" spans="2:4" x14ac:dyDescent="0.25">
      <c r="B7" s="65" t="s">
        <v>146</v>
      </c>
      <c r="C7" s="66" t="s">
        <v>150</v>
      </c>
      <c r="D7" t="s">
        <v>157</v>
      </c>
    </row>
    <row r="8" spans="2:4" x14ac:dyDescent="0.25">
      <c r="B8" s="65" t="s">
        <v>147</v>
      </c>
      <c r="C8" s="66" t="s">
        <v>151</v>
      </c>
      <c r="D8" t="s">
        <v>158</v>
      </c>
    </row>
    <row r="9" spans="2:4" x14ac:dyDescent="0.25">
      <c r="B9" s="65" t="s">
        <v>149</v>
      </c>
      <c r="C9" s="66" t="s">
        <v>152</v>
      </c>
      <c r="D9" t="s">
        <v>154</v>
      </c>
    </row>
    <row r="11" spans="2:4" x14ac:dyDescent="0.25">
      <c r="B11" s="1" t="s">
        <v>45</v>
      </c>
      <c r="C11" s="1" t="s">
        <v>41</v>
      </c>
      <c r="D11" s="1" t="s">
        <v>153</v>
      </c>
    </row>
    <row r="12" spans="2:4" ht="18.75" x14ac:dyDescent="0.25">
      <c r="B12" s="50" t="s">
        <v>47</v>
      </c>
      <c r="C12" s="51" t="s">
        <v>42</v>
      </c>
      <c r="D12" s="67" t="s">
        <v>159</v>
      </c>
    </row>
    <row r="13" spans="2:4" ht="18.75" x14ac:dyDescent="0.25">
      <c r="B13" s="50" t="s">
        <v>48</v>
      </c>
      <c r="C13" s="52" t="s">
        <v>43</v>
      </c>
      <c r="D13" s="67" t="s">
        <v>160</v>
      </c>
    </row>
    <row r="14" spans="2:4" ht="18.75" x14ac:dyDescent="0.25">
      <c r="B14" s="50" t="s">
        <v>49</v>
      </c>
      <c r="C14" s="53" t="s">
        <v>44</v>
      </c>
      <c r="D14" s="67" t="s">
        <v>161</v>
      </c>
    </row>
    <row r="15" spans="2:4" ht="15.75" x14ac:dyDescent="0.25">
      <c r="B15" s="50" t="s">
        <v>46</v>
      </c>
      <c r="C15" s="54" t="s">
        <v>46</v>
      </c>
    </row>
    <row r="17" spans="2:3" ht="15.75" x14ac:dyDescent="0.25">
      <c r="B17" s="55" t="s">
        <v>50</v>
      </c>
      <c r="C17" s="56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5AE9-3791-4A79-B73D-FCFDB87AF5AC}">
  <dimension ref="A1:S42"/>
  <sheetViews>
    <sheetView workbookViewId="0"/>
  </sheetViews>
  <sheetFormatPr defaultRowHeight="15" x14ac:dyDescent="0.25"/>
  <cols>
    <col min="1" max="1" width="8" bestFit="1" customWidth="1"/>
    <col min="2" max="2" width="10.5703125" bestFit="1" customWidth="1"/>
    <col min="3" max="11" width="9.140625" style="57"/>
    <col min="12" max="15" width="10.85546875" style="57" customWidth="1"/>
    <col min="16" max="18" width="9.140625" style="57"/>
    <col min="19" max="19" width="20.5703125" style="57" bestFit="1" customWidth="1"/>
  </cols>
  <sheetData>
    <row r="1" spans="1:19" ht="15.75" thickBot="1" x14ac:dyDescent="0.3">
      <c r="C1" s="68" t="s">
        <v>139</v>
      </c>
      <c r="D1" s="69"/>
      <c r="E1" s="69"/>
      <c r="F1" s="69"/>
      <c r="G1" s="69"/>
      <c r="H1" s="69"/>
      <c r="I1" s="69"/>
      <c r="J1" s="70"/>
      <c r="L1" s="68" t="s">
        <v>138</v>
      </c>
      <c r="M1" s="69"/>
      <c r="N1" s="69"/>
      <c r="O1" s="70"/>
      <c r="Q1" s="68" t="s">
        <v>140</v>
      </c>
      <c r="R1" s="69"/>
      <c r="S1" s="70"/>
    </row>
    <row r="2" spans="1:19" s="1" customFormat="1" x14ac:dyDescent="0.25">
      <c r="A2" s="59" t="s">
        <v>73</v>
      </c>
      <c r="B2" s="59" t="s">
        <v>53</v>
      </c>
      <c r="C2" s="59" t="s">
        <v>127</v>
      </c>
      <c r="D2" s="59" t="s">
        <v>128</v>
      </c>
      <c r="E2" s="59" t="s">
        <v>129</v>
      </c>
      <c r="F2" s="59" t="s">
        <v>130</v>
      </c>
      <c r="G2" s="59" t="s">
        <v>131</v>
      </c>
      <c r="H2" s="59" t="s">
        <v>132</v>
      </c>
      <c r="I2" s="59" t="s">
        <v>133</v>
      </c>
      <c r="J2" s="59" t="s">
        <v>134</v>
      </c>
      <c r="K2" s="59"/>
      <c r="L2" s="59" t="s">
        <v>123</v>
      </c>
      <c r="M2" s="59" t="s">
        <v>124</v>
      </c>
      <c r="N2" s="59" t="s">
        <v>125</v>
      </c>
      <c r="O2" s="59" t="s">
        <v>126</v>
      </c>
      <c r="P2" s="59"/>
      <c r="Q2" s="59" t="s">
        <v>135</v>
      </c>
      <c r="R2" s="59" t="s">
        <v>136</v>
      </c>
      <c r="S2" s="59" t="s">
        <v>137</v>
      </c>
    </row>
    <row r="3" spans="1:19" x14ac:dyDescent="0.25">
      <c r="A3" s="57" t="s">
        <v>74</v>
      </c>
      <c r="B3" s="57" t="s">
        <v>12</v>
      </c>
      <c r="C3" s="57">
        <v>5</v>
      </c>
      <c r="D3" s="57">
        <v>5</v>
      </c>
      <c r="E3" s="57">
        <v>5</v>
      </c>
      <c r="F3" s="57">
        <v>10</v>
      </c>
      <c r="G3" s="57">
        <v>10</v>
      </c>
      <c r="H3" s="57">
        <v>10</v>
      </c>
      <c r="I3" s="57">
        <v>5</v>
      </c>
      <c r="J3" s="57">
        <v>15</v>
      </c>
      <c r="L3" s="57">
        <v>0.17</v>
      </c>
      <c r="M3" s="57">
        <v>0.16</v>
      </c>
      <c r="N3" s="57">
        <v>0.57999999999999996</v>
      </c>
      <c r="O3" s="57">
        <v>0.37</v>
      </c>
      <c r="Q3" s="57">
        <v>0.66</v>
      </c>
      <c r="R3" s="57">
        <v>0.84</v>
      </c>
      <c r="S3" s="57">
        <v>0.17999999999999994</v>
      </c>
    </row>
    <row r="4" spans="1:19" x14ac:dyDescent="0.25">
      <c r="A4" s="57" t="s">
        <v>75</v>
      </c>
      <c r="B4" s="57" t="s">
        <v>12</v>
      </c>
      <c r="C4" s="57">
        <v>10</v>
      </c>
      <c r="D4" s="57">
        <v>15</v>
      </c>
      <c r="E4" s="57">
        <v>15</v>
      </c>
      <c r="F4" s="57">
        <v>5</v>
      </c>
      <c r="G4" s="57">
        <v>5</v>
      </c>
      <c r="H4" s="57">
        <v>10</v>
      </c>
      <c r="I4" s="57">
        <v>15</v>
      </c>
      <c r="J4" s="57">
        <v>30</v>
      </c>
      <c r="L4" s="57">
        <v>0.31</v>
      </c>
      <c r="M4" s="57">
        <v>0.42</v>
      </c>
      <c r="N4" s="57">
        <v>0.23</v>
      </c>
      <c r="O4" s="57">
        <v>0.6</v>
      </c>
      <c r="Q4" s="57">
        <v>0.38</v>
      </c>
      <c r="R4" s="57">
        <v>0.72</v>
      </c>
      <c r="S4" s="57">
        <v>0.33999999999999997</v>
      </c>
    </row>
    <row r="5" spans="1:19" x14ac:dyDescent="0.25">
      <c r="A5" s="57" t="s">
        <v>76</v>
      </c>
      <c r="B5" s="57" t="s">
        <v>12</v>
      </c>
      <c r="C5" s="57">
        <v>0</v>
      </c>
      <c r="D5" s="57">
        <v>-5</v>
      </c>
      <c r="E5" s="57">
        <v>0</v>
      </c>
      <c r="F5" s="57">
        <v>0</v>
      </c>
      <c r="G5" s="57">
        <v>10</v>
      </c>
      <c r="H5" s="57">
        <v>5</v>
      </c>
      <c r="I5" s="57">
        <v>25</v>
      </c>
      <c r="J5" s="57">
        <v>25</v>
      </c>
      <c r="L5" s="57">
        <v>0.11</v>
      </c>
      <c r="M5" s="57">
        <v>0.33</v>
      </c>
      <c r="N5" s="57">
        <v>0.15</v>
      </c>
      <c r="O5" s="57">
        <v>0.27</v>
      </c>
      <c r="Q5" s="57">
        <v>0.44</v>
      </c>
      <c r="R5" s="57">
        <v>0.74</v>
      </c>
      <c r="S5" s="57">
        <v>0.3</v>
      </c>
    </row>
    <row r="6" spans="1:19" x14ac:dyDescent="0.25">
      <c r="A6" s="57" t="s">
        <v>77</v>
      </c>
      <c r="B6" s="57" t="s">
        <v>12</v>
      </c>
      <c r="C6" s="57">
        <v>10</v>
      </c>
      <c r="D6" s="57">
        <v>10</v>
      </c>
      <c r="E6" s="57">
        <v>5</v>
      </c>
      <c r="F6" s="57">
        <v>10</v>
      </c>
      <c r="G6" s="57">
        <v>15</v>
      </c>
      <c r="H6" s="57">
        <v>25</v>
      </c>
      <c r="I6" s="57">
        <v>40</v>
      </c>
      <c r="J6" s="57">
        <v>55</v>
      </c>
      <c r="L6" s="57">
        <v>0.15</v>
      </c>
      <c r="M6" s="57">
        <v>0.19</v>
      </c>
      <c r="N6" s="57">
        <v>0.18</v>
      </c>
      <c r="O6" s="57">
        <v>0.72</v>
      </c>
      <c r="Q6" s="57">
        <v>0.32</v>
      </c>
      <c r="R6" s="57">
        <v>0.52</v>
      </c>
      <c r="S6" s="57">
        <v>0.2</v>
      </c>
    </row>
    <row r="7" spans="1:19" x14ac:dyDescent="0.25">
      <c r="A7" s="57" t="s">
        <v>78</v>
      </c>
      <c r="B7" s="57" t="s">
        <v>12</v>
      </c>
      <c r="C7" s="57">
        <v>5</v>
      </c>
      <c r="D7" s="57">
        <v>5</v>
      </c>
      <c r="E7" s="57">
        <v>15</v>
      </c>
      <c r="F7" s="57">
        <v>15</v>
      </c>
      <c r="G7" s="57">
        <v>0</v>
      </c>
      <c r="H7" s="57">
        <v>15</v>
      </c>
      <c r="I7" s="57">
        <v>20</v>
      </c>
      <c r="J7" s="57">
        <v>20</v>
      </c>
      <c r="L7" s="57">
        <v>0.23</v>
      </c>
      <c r="M7" s="57">
        <v>0.19</v>
      </c>
      <c r="N7" s="57">
        <v>0.46</v>
      </c>
      <c r="O7" s="57">
        <v>0.75</v>
      </c>
      <c r="Q7" s="57">
        <v>0.4</v>
      </c>
      <c r="R7" s="57">
        <v>0.78</v>
      </c>
      <c r="S7" s="57">
        <v>0.38</v>
      </c>
    </row>
    <row r="8" spans="1:19" x14ac:dyDescent="0.25">
      <c r="A8" s="57" t="s">
        <v>79</v>
      </c>
      <c r="B8" s="57" t="s">
        <v>12</v>
      </c>
      <c r="C8" s="57">
        <v>15</v>
      </c>
      <c r="D8" s="57">
        <v>20</v>
      </c>
      <c r="E8" s="57">
        <v>10</v>
      </c>
      <c r="F8" s="57">
        <v>10</v>
      </c>
      <c r="G8" s="57">
        <v>15</v>
      </c>
      <c r="H8" s="57">
        <v>20</v>
      </c>
      <c r="I8" s="57">
        <v>35</v>
      </c>
      <c r="J8" s="57">
        <v>55</v>
      </c>
      <c r="L8" s="57">
        <v>0.37</v>
      </c>
      <c r="M8" s="57">
        <v>0.14000000000000001</v>
      </c>
      <c r="N8" s="57">
        <v>0.25</v>
      </c>
      <c r="O8" s="57">
        <v>0.33</v>
      </c>
      <c r="Q8" s="57">
        <v>0.46</v>
      </c>
      <c r="R8" s="57">
        <v>0.84</v>
      </c>
      <c r="S8" s="57">
        <v>0.37999999999999995</v>
      </c>
    </row>
    <row r="9" spans="1:19" x14ac:dyDescent="0.25">
      <c r="A9" s="57" t="s">
        <v>80</v>
      </c>
      <c r="B9" s="57" t="s">
        <v>12</v>
      </c>
      <c r="C9" s="57">
        <v>20</v>
      </c>
      <c r="D9" s="57">
        <v>15</v>
      </c>
      <c r="E9" s="57">
        <v>15</v>
      </c>
      <c r="F9" s="57">
        <v>10</v>
      </c>
      <c r="G9" s="57">
        <v>15</v>
      </c>
      <c r="H9" s="57">
        <v>10</v>
      </c>
      <c r="I9" s="57">
        <v>45</v>
      </c>
      <c r="J9" s="57">
        <v>70</v>
      </c>
      <c r="L9" s="57">
        <v>0.18</v>
      </c>
      <c r="M9" s="57">
        <v>0.38</v>
      </c>
      <c r="N9" s="57">
        <v>0.52</v>
      </c>
      <c r="O9" s="57">
        <v>0.28999999999999998</v>
      </c>
      <c r="Q9" s="57">
        <v>0.18</v>
      </c>
      <c r="R9" s="57">
        <v>0.5</v>
      </c>
      <c r="S9" s="57">
        <v>0.32</v>
      </c>
    </row>
    <row r="10" spans="1:19" x14ac:dyDescent="0.25">
      <c r="A10" s="57" t="s">
        <v>81</v>
      </c>
      <c r="B10" s="57" t="s">
        <v>12</v>
      </c>
      <c r="C10" s="57">
        <v>10</v>
      </c>
      <c r="D10" s="57">
        <v>5</v>
      </c>
      <c r="E10" s="57">
        <v>10</v>
      </c>
      <c r="F10" s="57">
        <v>20</v>
      </c>
      <c r="G10" s="57">
        <v>5</v>
      </c>
      <c r="H10" s="57">
        <v>25</v>
      </c>
      <c r="I10" s="57">
        <v>25</v>
      </c>
      <c r="J10" s="57">
        <v>70</v>
      </c>
      <c r="L10" s="57">
        <v>0.28999999999999998</v>
      </c>
      <c r="M10" s="57">
        <v>0.15</v>
      </c>
      <c r="N10" s="57">
        <v>0.38</v>
      </c>
      <c r="O10" s="57">
        <v>0.38</v>
      </c>
      <c r="Q10" s="57">
        <v>0.16</v>
      </c>
      <c r="R10" s="57">
        <v>0.54</v>
      </c>
      <c r="S10" s="57">
        <v>0.38</v>
      </c>
    </row>
    <row r="11" spans="1:19" x14ac:dyDescent="0.25">
      <c r="A11" s="57" t="s">
        <v>82</v>
      </c>
      <c r="B11" s="57" t="s">
        <v>12</v>
      </c>
      <c r="C11" s="57">
        <v>10</v>
      </c>
      <c r="D11" s="57">
        <v>0</v>
      </c>
      <c r="E11" s="57">
        <v>0</v>
      </c>
      <c r="F11" s="57">
        <v>10</v>
      </c>
      <c r="G11" s="57">
        <v>5</v>
      </c>
      <c r="H11" s="57">
        <v>10</v>
      </c>
      <c r="I11" s="57">
        <v>10</v>
      </c>
      <c r="J11" s="57">
        <v>30</v>
      </c>
      <c r="L11" s="57">
        <v>0.17</v>
      </c>
      <c r="M11" s="57">
        <v>0.35</v>
      </c>
      <c r="N11" s="57">
        <v>0.57999999999999996</v>
      </c>
      <c r="O11" s="57">
        <v>0.98</v>
      </c>
      <c r="Q11" s="57">
        <v>0.32</v>
      </c>
      <c r="R11" s="57">
        <v>0.56000000000000005</v>
      </c>
      <c r="S11" s="57">
        <v>0.24000000000000005</v>
      </c>
    </row>
    <row r="12" spans="1:19" x14ac:dyDescent="0.25">
      <c r="A12" s="57" t="s">
        <v>83</v>
      </c>
      <c r="B12" s="57" t="s">
        <v>12</v>
      </c>
      <c r="C12" s="57">
        <v>10</v>
      </c>
      <c r="D12" s="57">
        <v>10</v>
      </c>
      <c r="E12" s="57">
        <v>10</v>
      </c>
      <c r="F12" s="57">
        <v>15</v>
      </c>
      <c r="G12" s="57">
        <v>10</v>
      </c>
      <c r="H12" s="57">
        <v>15</v>
      </c>
      <c r="I12" s="57">
        <v>25</v>
      </c>
      <c r="J12" s="57">
        <v>30</v>
      </c>
      <c r="L12" s="57">
        <v>0.56000000000000005</v>
      </c>
      <c r="M12" s="57">
        <v>0.22</v>
      </c>
      <c r="N12" s="57">
        <v>0.42</v>
      </c>
      <c r="O12" s="57">
        <v>0.84</v>
      </c>
      <c r="Q12" s="57">
        <v>0.36</v>
      </c>
      <c r="R12" s="57">
        <v>0.54</v>
      </c>
      <c r="S12" s="57">
        <v>0.18000000000000005</v>
      </c>
    </row>
    <row r="13" spans="1:19" x14ac:dyDescent="0.25">
      <c r="A13" s="57" t="s">
        <v>84</v>
      </c>
      <c r="B13" s="57" t="s">
        <v>12</v>
      </c>
      <c r="C13" s="57">
        <v>5</v>
      </c>
      <c r="D13" s="57">
        <v>5</v>
      </c>
      <c r="E13" s="57">
        <v>10</v>
      </c>
      <c r="F13" s="57">
        <v>10</v>
      </c>
      <c r="G13" s="57">
        <v>0</v>
      </c>
      <c r="H13" s="57">
        <v>20</v>
      </c>
      <c r="I13" s="57">
        <v>20</v>
      </c>
      <c r="J13" s="57">
        <v>15</v>
      </c>
      <c r="L13" s="57">
        <v>0.2</v>
      </c>
      <c r="M13" s="57">
        <v>0.14000000000000001</v>
      </c>
      <c r="N13" s="57">
        <v>0.32</v>
      </c>
      <c r="O13" s="57">
        <v>0.21</v>
      </c>
      <c r="Q13" s="57">
        <v>0.26</v>
      </c>
      <c r="R13" s="57">
        <v>0.62</v>
      </c>
      <c r="S13" s="57">
        <v>0.36</v>
      </c>
    </row>
    <row r="14" spans="1:19" x14ac:dyDescent="0.25">
      <c r="A14" s="57" t="s">
        <v>85</v>
      </c>
      <c r="B14" s="57" t="s">
        <v>12</v>
      </c>
      <c r="C14" s="57">
        <v>0</v>
      </c>
      <c r="D14" s="57">
        <v>5</v>
      </c>
      <c r="E14" s="57">
        <v>10</v>
      </c>
      <c r="F14" s="57">
        <v>15</v>
      </c>
      <c r="G14" s="57">
        <v>5</v>
      </c>
      <c r="H14" s="57">
        <v>10</v>
      </c>
      <c r="I14" s="57">
        <v>15</v>
      </c>
      <c r="J14" s="57">
        <v>25</v>
      </c>
      <c r="L14" s="57">
        <v>0.43</v>
      </c>
      <c r="M14" s="57">
        <v>0.23</v>
      </c>
      <c r="N14" s="57">
        <v>0.41</v>
      </c>
      <c r="O14" s="57">
        <v>0.56000000000000005</v>
      </c>
      <c r="Q14" s="57">
        <v>0.4</v>
      </c>
      <c r="R14" s="57">
        <v>0.72</v>
      </c>
      <c r="S14" s="57">
        <v>0.31999999999999995</v>
      </c>
    </row>
    <row r="15" spans="1:19" x14ac:dyDescent="0.25">
      <c r="A15" s="57" t="s">
        <v>86</v>
      </c>
      <c r="B15" s="57" t="s">
        <v>12</v>
      </c>
      <c r="C15" s="57">
        <v>25</v>
      </c>
      <c r="D15" s="57">
        <v>20</v>
      </c>
      <c r="E15" s="57">
        <v>5</v>
      </c>
      <c r="F15" s="57">
        <v>15</v>
      </c>
      <c r="G15" s="57">
        <v>20</v>
      </c>
      <c r="H15" s="57">
        <v>15</v>
      </c>
      <c r="I15" s="57">
        <v>25</v>
      </c>
      <c r="J15" s="57">
        <v>40</v>
      </c>
      <c r="L15" s="57">
        <v>0.18</v>
      </c>
      <c r="M15" s="57">
        <v>0.42</v>
      </c>
      <c r="N15" s="57">
        <v>0.37</v>
      </c>
      <c r="O15" s="57">
        <v>0.73</v>
      </c>
      <c r="Q15" s="57">
        <v>0.08</v>
      </c>
      <c r="R15" s="57">
        <v>0.14000000000000001</v>
      </c>
      <c r="S15" s="57">
        <v>6.0000000000000012E-2</v>
      </c>
    </row>
    <row r="16" spans="1:19" x14ac:dyDescent="0.25">
      <c r="A16" s="57" t="s">
        <v>87</v>
      </c>
      <c r="B16" s="57" t="s">
        <v>12</v>
      </c>
      <c r="C16" s="57">
        <v>10</v>
      </c>
      <c r="D16" s="57">
        <v>5</v>
      </c>
      <c r="E16" s="57">
        <v>0</v>
      </c>
      <c r="F16" s="57">
        <v>15</v>
      </c>
      <c r="G16" s="57">
        <v>20</v>
      </c>
      <c r="H16" s="57">
        <v>25</v>
      </c>
      <c r="I16" s="57">
        <v>25</v>
      </c>
      <c r="J16" s="57">
        <v>30</v>
      </c>
      <c r="L16" s="57">
        <v>0.39</v>
      </c>
      <c r="M16" s="57">
        <v>0.23</v>
      </c>
      <c r="N16" s="57">
        <v>0.49</v>
      </c>
      <c r="O16" s="57">
        <v>0.39</v>
      </c>
      <c r="Q16" s="57">
        <v>0.3</v>
      </c>
      <c r="R16" s="57">
        <v>0.6</v>
      </c>
      <c r="S16" s="57">
        <v>0.3</v>
      </c>
    </row>
    <row r="17" spans="1:19" x14ac:dyDescent="0.25">
      <c r="A17" s="57" t="s">
        <v>88</v>
      </c>
      <c r="B17" s="57" t="s">
        <v>12</v>
      </c>
      <c r="C17" s="57">
        <v>10</v>
      </c>
      <c r="D17" s="57">
        <v>25</v>
      </c>
      <c r="E17" s="57">
        <v>15</v>
      </c>
      <c r="F17" s="57">
        <v>0</v>
      </c>
      <c r="G17" s="57">
        <v>10</v>
      </c>
      <c r="H17" s="57">
        <v>15</v>
      </c>
      <c r="I17" s="57">
        <v>45</v>
      </c>
      <c r="J17" s="57">
        <v>70</v>
      </c>
      <c r="L17" s="57">
        <v>0.43</v>
      </c>
      <c r="M17" s="57">
        <v>0.11</v>
      </c>
      <c r="N17" s="57">
        <v>0.56000000000000005</v>
      </c>
      <c r="O17" s="57">
        <v>0.42</v>
      </c>
      <c r="Q17" s="57">
        <v>0.24</v>
      </c>
      <c r="R17" s="57">
        <v>0.66</v>
      </c>
      <c r="S17" s="57">
        <v>0.42000000000000004</v>
      </c>
    </row>
    <row r="18" spans="1:19" x14ac:dyDescent="0.25">
      <c r="A18" s="57" t="s">
        <v>89</v>
      </c>
      <c r="B18" s="57" t="s">
        <v>12</v>
      </c>
      <c r="C18" s="57">
        <v>15</v>
      </c>
      <c r="D18" s="57">
        <v>15</v>
      </c>
      <c r="E18" s="57">
        <v>10</v>
      </c>
      <c r="F18" s="57">
        <v>15</v>
      </c>
      <c r="G18" s="57">
        <v>15</v>
      </c>
      <c r="H18" s="57">
        <v>15</v>
      </c>
      <c r="I18" s="57">
        <v>15</v>
      </c>
      <c r="J18" s="57">
        <v>35</v>
      </c>
      <c r="L18" s="57">
        <v>0.18</v>
      </c>
      <c r="M18" s="57">
        <v>0.21</v>
      </c>
      <c r="N18" s="57">
        <v>0.23</v>
      </c>
      <c r="O18" s="57">
        <v>0.27</v>
      </c>
      <c r="Q18" s="57">
        <v>0.2</v>
      </c>
      <c r="R18" s="57">
        <v>0.52</v>
      </c>
      <c r="S18" s="57">
        <v>0.32</v>
      </c>
    </row>
    <row r="19" spans="1:19" x14ac:dyDescent="0.25">
      <c r="A19" s="57" t="s">
        <v>90</v>
      </c>
      <c r="B19" s="57" t="s">
        <v>12</v>
      </c>
      <c r="C19" s="57">
        <v>5</v>
      </c>
      <c r="D19" s="57">
        <v>10</v>
      </c>
      <c r="E19" s="57">
        <v>20</v>
      </c>
      <c r="F19" s="57">
        <v>5</v>
      </c>
      <c r="G19" s="57">
        <v>15</v>
      </c>
      <c r="H19" s="57">
        <v>25</v>
      </c>
      <c r="I19" s="57">
        <v>40</v>
      </c>
      <c r="J19" s="57">
        <v>55</v>
      </c>
      <c r="L19" s="57">
        <v>0.19</v>
      </c>
      <c r="M19" s="57">
        <v>0.15</v>
      </c>
      <c r="N19" s="57">
        <v>0.33</v>
      </c>
      <c r="O19" s="57">
        <v>0.3</v>
      </c>
      <c r="Q19" s="57">
        <v>0.57999999999999996</v>
      </c>
      <c r="R19" s="57">
        <v>0.74</v>
      </c>
      <c r="S19" s="57">
        <v>0.16000000000000003</v>
      </c>
    </row>
    <row r="20" spans="1:19" x14ac:dyDescent="0.25">
      <c r="A20" s="57" t="s">
        <v>91</v>
      </c>
      <c r="B20" s="57" t="s">
        <v>12</v>
      </c>
      <c r="C20" s="57">
        <v>10</v>
      </c>
      <c r="D20" s="57">
        <v>10</v>
      </c>
      <c r="E20" s="57">
        <v>10</v>
      </c>
      <c r="F20" s="57">
        <v>15</v>
      </c>
      <c r="G20" s="57">
        <v>15</v>
      </c>
      <c r="H20" s="57">
        <v>15</v>
      </c>
      <c r="I20" s="57">
        <v>15</v>
      </c>
      <c r="J20" s="57">
        <v>20</v>
      </c>
      <c r="L20" s="57">
        <v>0.89</v>
      </c>
      <c r="M20" s="57">
        <v>2.2400000000000002</v>
      </c>
      <c r="N20" s="57">
        <v>0.92</v>
      </c>
      <c r="O20" s="57">
        <v>2.5499999999999998</v>
      </c>
      <c r="Q20" s="57">
        <v>0.2</v>
      </c>
      <c r="R20" s="57">
        <v>0.5</v>
      </c>
      <c r="S20" s="57">
        <v>0.3</v>
      </c>
    </row>
    <row r="21" spans="1:19" x14ac:dyDescent="0.25">
      <c r="A21" s="57" t="s">
        <v>92</v>
      </c>
      <c r="B21" s="57" t="s">
        <v>12</v>
      </c>
      <c r="C21" s="57">
        <v>5</v>
      </c>
      <c r="D21" s="57">
        <v>5</v>
      </c>
      <c r="E21" s="57">
        <v>0</v>
      </c>
      <c r="F21" s="57">
        <v>5</v>
      </c>
      <c r="G21" s="57">
        <v>15</v>
      </c>
      <c r="H21" s="57">
        <v>20</v>
      </c>
      <c r="I21" s="57">
        <v>20</v>
      </c>
      <c r="J21" s="57">
        <v>15</v>
      </c>
      <c r="L21" s="57">
        <v>0.5</v>
      </c>
      <c r="M21" s="57">
        <v>0.27</v>
      </c>
      <c r="N21" s="57">
        <v>0.52</v>
      </c>
      <c r="O21" s="57">
        <v>0.88</v>
      </c>
      <c r="Q21" s="57">
        <v>0.48</v>
      </c>
      <c r="R21" s="57">
        <v>0.88</v>
      </c>
      <c r="S21" s="57">
        <v>0.4</v>
      </c>
    </row>
    <row r="22" spans="1:19" x14ac:dyDescent="0.25">
      <c r="A22" s="57" t="s">
        <v>93</v>
      </c>
      <c r="B22" s="57" t="s">
        <v>12</v>
      </c>
      <c r="C22" s="57">
        <v>10</v>
      </c>
      <c r="D22" s="57">
        <v>10</v>
      </c>
      <c r="E22" s="57">
        <v>10</v>
      </c>
      <c r="F22" s="57">
        <v>20</v>
      </c>
      <c r="G22" s="57">
        <v>10</v>
      </c>
      <c r="H22" s="57">
        <v>15</v>
      </c>
      <c r="I22" s="57">
        <v>25</v>
      </c>
      <c r="J22" s="57">
        <v>45</v>
      </c>
      <c r="L22" s="57">
        <v>0.2</v>
      </c>
      <c r="M22" s="57">
        <v>0.21</v>
      </c>
      <c r="N22" s="57">
        <v>0.36</v>
      </c>
      <c r="O22" s="57">
        <v>0.52</v>
      </c>
      <c r="Q22" s="57">
        <v>0.32</v>
      </c>
      <c r="R22" s="57">
        <v>0.56000000000000005</v>
      </c>
      <c r="S22" s="57">
        <v>0.24000000000000005</v>
      </c>
    </row>
    <row r="23" spans="1:19" x14ac:dyDescent="0.25">
      <c r="A23" s="57" t="s">
        <v>94</v>
      </c>
      <c r="B23" s="57" t="s">
        <v>11</v>
      </c>
      <c r="C23" s="57">
        <v>0</v>
      </c>
      <c r="D23" s="57">
        <v>5</v>
      </c>
      <c r="E23" s="57">
        <v>5</v>
      </c>
      <c r="F23" s="57">
        <v>30</v>
      </c>
      <c r="G23" s="57">
        <v>35</v>
      </c>
      <c r="H23" s="57">
        <v>50</v>
      </c>
      <c r="I23" s="57">
        <v>60</v>
      </c>
      <c r="J23" s="57">
        <v>65</v>
      </c>
      <c r="L23" s="57">
        <v>0.16</v>
      </c>
      <c r="M23" s="57">
        <v>0.09</v>
      </c>
      <c r="N23" s="57">
        <v>0.67</v>
      </c>
      <c r="O23" s="57">
        <v>0.3</v>
      </c>
      <c r="Q23" s="57">
        <v>0.46</v>
      </c>
      <c r="R23" s="57">
        <v>0.7</v>
      </c>
      <c r="S23" s="57">
        <v>0.23999999999999994</v>
      </c>
    </row>
    <row r="24" spans="1:19" x14ac:dyDescent="0.25">
      <c r="A24" s="57" t="s">
        <v>95</v>
      </c>
      <c r="B24" s="57" t="s">
        <v>11</v>
      </c>
      <c r="C24" s="57">
        <v>25</v>
      </c>
      <c r="D24" s="57">
        <v>35</v>
      </c>
      <c r="E24" s="57">
        <v>40</v>
      </c>
      <c r="F24" s="57">
        <v>35</v>
      </c>
      <c r="G24" s="57">
        <v>55</v>
      </c>
      <c r="H24" s="57">
        <v>55</v>
      </c>
      <c r="I24" s="57">
        <v>60</v>
      </c>
      <c r="J24" s="57">
        <v>80</v>
      </c>
      <c r="L24" s="57">
        <v>0.39</v>
      </c>
      <c r="M24" s="57">
        <v>0.28000000000000003</v>
      </c>
      <c r="N24" s="57">
        <v>0.56000000000000005</v>
      </c>
      <c r="O24" s="57">
        <v>0.94</v>
      </c>
      <c r="Q24" s="57">
        <v>0.06</v>
      </c>
      <c r="R24" s="57">
        <v>0.18</v>
      </c>
      <c r="S24" s="57">
        <v>0.12</v>
      </c>
    </row>
    <row r="25" spans="1:19" x14ac:dyDescent="0.25">
      <c r="A25" s="57" t="s">
        <v>96</v>
      </c>
      <c r="B25" s="57" t="s">
        <v>11</v>
      </c>
      <c r="C25" s="57">
        <v>15</v>
      </c>
      <c r="D25" s="57">
        <v>20</v>
      </c>
      <c r="E25" s="57">
        <v>30</v>
      </c>
      <c r="F25" s="57">
        <v>45</v>
      </c>
      <c r="G25" s="57">
        <v>45</v>
      </c>
      <c r="H25" s="57">
        <v>50</v>
      </c>
      <c r="I25" s="57">
        <v>70</v>
      </c>
      <c r="J25" s="57">
        <v>85</v>
      </c>
      <c r="L25" s="57">
        <v>0.15</v>
      </c>
      <c r="M25" s="57">
        <v>0.1</v>
      </c>
      <c r="N25" s="57">
        <v>0.47</v>
      </c>
      <c r="O25" s="57">
        <v>0.32</v>
      </c>
      <c r="Q25" s="57">
        <v>0.22</v>
      </c>
      <c r="R25" s="57">
        <v>0.38</v>
      </c>
      <c r="S25" s="57">
        <v>0.16</v>
      </c>
    </row>
    <row r="26" spans="1:19" x14ac:dyDescent="0.25">
      <c r="A26" s="57" t="s">
        <v>97</v>
      </c>
      <c r="B26" s="57" t="s">
        <v>11</v>
      </c>
      <c r="C26" s="57">
        <v>5</v>
      </c>
      <c r="D26" s="57">
        <v>10</v>
      </c>
      <c r="E26" s="57">
        <v>15</v>
      </c>
      <c r="F26" s="57">
        <v>25</v>
      </c>
      <c r="G26" s="57">
        <v>30</v>
      </c>
      <c r="H26" s="57">
        <v>40</v>
      </c>
      <c r="I26" s="57">
        <v>65</v>
      </c>
      <c r="J26" s="57">
        <v>60</v>
      </c>
      <c r="L26" s="57">
        <v>0.55000000000000004</v>
      </c>
      <c r="M26" s="57">
        <v>0.12</v>
      </c>
      <c r="N26" s="57">
        <v>0.44</v>
      </c>
      <c r="O26" s="57">
        <v>0.76</v>
      </c>
      <c r="Q26" s="57">
        <v>0.42</v>
      </c>
      <c r="R26" s="57">
        <v>0.76</v>
      </c>
      <c r="S26" s="57">
        <v>0.34</v>
      </c>
    </row>
    <row r="27" spans="1:19" x14ac:dyDescent="0.25">
      <c r="A27" s="57" t="s">
        <v>98</v>
      </c>
      <c r="B27" s="57" t="s">
        <v>11</v>
      </c>
      <c r="C27" s="57">
        <v>20</v>
      </c>
      <c r="D27" s="57">
        <v>30</v>
      </c>
      <c r="E27" s="57">
        <v>45</v>
      </c>
      <c r="F27" s="57">
        <v>50</v>
      </c>
      <c r="G27" s="57">
        <v>50</v>
      </c>
      <c r="H27" s="57">
        <v>50</v>
      </c>
      <c r="I27" s="57">
        <v>50</v>
      </c>
      <c r="J27" s="57">
        <v>65</v>
      </c>
      <c r="L27" s="57">
        <v>0.12</v>
      </c>
      <c r="M27" s="57">
        <v>7.0000000000000007E-2</v>
      </c>
      <c r="N27" s="57">
        <v>0.23</v>
      </c>
      <c r="O27" s="57">
        <v>0.26</v>
      </c>
      <c r="Q27" s="57">
        <v>0.18</v>
      </c>
      <c r="R27" s="57">
        <v>0.36</v>
      </c>
      <c r="S27" s="57">
        <v>0.18</v>
      </c>
    </row>
    <row r="28" spans="1:19" x14ac:dyDescent="0.25">
      <c r="A28" s="57" t="s">
        <v>99</v>
      </c>
      <c r="B28" s="57" t="s">
        <v>11</v>
      </c>
      <c r="C28" s="57">
        <v>30</v>
      </c>
      <c r="D28" s="57">
        <v>40</v>
      </c>
      <c r="E28" s="57">
        <v>35</v>
      </c>
      <c r="F28" s="57">
        <v>45</v>
      </c>
      <c r="G28" s="57">
        <v>40</v>
      </c>
      <c r="H28" s="57">
        <v>45</v>
      </c>
      <c r="I28" s="57">
        <v>55</v>
      </c>
      <c r="J28" s="57">
        <v>70</v>
      </c>
      <c r="L28" s="57">
        <v>0.14000000000000001</v>
      </c>
      <c r="M28" s="57">
        <v>0.16</v>
      </c>
      <c r="N28" s="57">
        <v>0.09</v>
      </c>
      <c r="O28" s="57">
        <v>0.48</v>
      </c>
      <c r="Q28" s="57">
        <v>0.2</v>
      </c>
      <c r="R28" s="57">
        <v>0.24</v>
      </c>
      <c r="S28" s="57">
        <v>3.999999999999998E-2</v>
      </c>
    </row>
    <row r="29" spans="1:19" x14ac:dyDescent="0.25">
      <c r="A29" s="57" t="s">
        <v>100</v>
      </c>
      <c r="B29" s="57" t="s">
        <v>11</v>
      </c>
      <c r="C29" s="57">
        <v>25</v>
      </c>
      <c r="D29" s="57">
        <v>25</v>
      </c>
      <c r="E29" s="57">
        <v>25</v>
      </c>
      <c r="F29" s="57">
        <v>30</v>
      </c>
      <c r="G29" s="57">
        <v>45</v>
      </c>
      <c r="H29" s="57">
        <v>45</v>
      </c>
      <c r="I29" s="57">
        <v>70</v>
      </c>
      <c r="J29" s="57">
        <v>75</v>
      </c>
      <c r="L29" s="57">
        <v>0.08</v>
      </c>
      <c r="M29" s="57">
        <v>0.14000000000000001</v>
      </c>
      <c r="N29" s="57">
        <v>0.63</v>
      </c>
      <c r="O29" s="57">
        <v>0.51</v>
      </c>
      <c r="Q29" s="57">
        <v>0.12</v>
      </c>
      <c r="R29" s="57">
        <v>0.12</v>
      </c>
      <c r="S29" s="57">
        <v>0</v>
      </c>
    </row>
    <row r="30" spans="1:19" x14ac:dyDescent="0.25">
      <c r="A30" s="57" t="s">
        <v>101</v>
      </c>
      <c r="B30" s="57" t="s">
        <v>11</v>
      </c>
      <c r="C30" s="57">
        <v>30</v>
      </c>
      <c r="D30" s="57">
        <v>45</v>
      </c>
      <c r="E30" s="57">
        <v>30</v>
      </c>
      <c r="F30" s="57">
        <v>40</v>
      </c>
      <c r="G30" s="57">
        <v>40</v>
      </c>
      <c r="H30" s="57">
        <v>40</v>
      </c>
      <c r="I30" s="57">
        <v>55</v>
      </c>
      <c r="J30" s="57">
        <v>75</v>
      </c>
      <c r="L30" s="57">
        <v>0.28000000000000003</v>
      </c>
      <c r="M30" s="57">
        <v>0.27</v>
      </c>
      <c r="N30" s="57">
        <v>0.3</v>
      </c>
      <c r="O30" s="57">
        <v>2.2000000000000002</v>
      </c>
      <c r="Q30" s="57">
        <v>0.02</v>
      </c>
      <c r="R30" s="57">
        <v>0.14000000000000001</v>
      </c>
      <c r="S30" s="57">
        <v>0.12000000000000001</v>
      </c>
    </row>
    <row r="31" spans="1:19" x14ac:dyDescent="0.25">
      <c r="A31" s="57" t="s">
        <v>102</v>
      </c>
      <c r="B31" s="57" t="s">
        <v>11</v>
      </c>
      <c r="C31" s="57">
        <v>5</v>
      </c>
      <c r="D31" s="57">
        <v>5</v>
      </c>
      <c r="E31" s="57">
        <v>20</v>
      </c>
      <c r="F31" s="57">
        <v>20</v>
      </c>
      <c r="G31" s="57">
        <v>30</v>
      </c>
      <c r="H31" s="57">
        <v>45</v>
      </c>
      <c r="I31" s="57">
        <v>55</v>
      </c>
      <c r="J31" s="57">
        <v>60</v>
      </c>
      <c r="L31" s="57">
        <v>0.12</v>
      </c>
      <c r="M31" s="57">
        <v>0.32</v>
      </c>
      <c r="N31" s="57">
        <v>0.54</v>
      </c>
      <c r="O31" s="57">
        <v>0.19</v>
      </c>
      <c r="Q31" s="57">
        <v>0.52</v>
      </c>
      <c r="R31" s="57">
        <v>0.74</v>
      </c>
      <c r="S31" s="57">
        <v>0.21999999999999997</v>
      </c>
    </row>
    <row r="32" spans="1:19" x14ac:dyDescent="0.25">
      <c r="A32" s="57" t="s">
        <v>103</v>
      </c>
      <c r="B32" s="57" t="s">
        <v>11</v>
      </c>
      <c r="C32" s="57">
        <v>20</v>
      </c>
      <c r="D32" s="57">
        <v>15</v>
      </c>
      <c r="E32" s="57">
        <v>20</v>
      </c>
      <c r="F32" s="57">
        <v>30</v>
      </c>
      <c r="G32" s="57">
        <v>40</v>
      </c>
      <c r="H32" s="57">
        <v>50</v>
      </c>
      <c r="I32" s="57">
        <v>55</v>
      </c>
      <c r="J32" s="57">
        <v>80</v>
      </c>
      <c r="L32" s="57">
        <v>0.35</v>
      </c>
      <c r="M32" s="57">
        <v>0.37</v>
      </c>
      <c r="N32" s="57">
        <v>0.28999999999999998</v>
      </c>
      <c r="O32" s="57">
        <v>0.89</v>
      </c>
      <c r="Q32" s="57">
        <v>0.28000000000000003</v>
      </c>
      <c r="R32" s="57">
        <v>0.46</v>
      </c>
      <c r="S32" s="57">
        <v>0.18</v>
      </c>
    </row>
    <row r="33" spans="1:19" x14ac:dyDescent="0.25">
      <c r="A33" s="57" t="s">
        <v>104</v>
      </c>
      <c r="B33" s="57" t="s">
        <v>11</v>
      </c>
      <c r="C33" s="57">
        <v>5</v>
      </c>
      <c r="D33" s="57">
        <v>5</v>
      </c>
      <c r="E33" s="57">
        <v>15</v>
      </c>
      <c r="F33" s="57">
        <v>30</v>
      </c>
      <c r="G33" s="57">
        <v>30</v>
      </c>
      <c r="H33" s="57">
        <v>45</v>
      </c>
      <c r="I33" s="57">
        <v>55</v>
      </c>
      <c r="J33" s="57">
        <v>60</v>
      </c>
      <c r="L33" s="57">
        <v>0.15</v>
      </c>
      <c r="M33" s="57">
        <v>0.24</v>
      </c>
      <c r="N33" s="57">
        <v>0.42</v>
      </c>
      <c r="O33" s="57">
        <v>0.4</v>
      </c>
      <c r="Q33" s="57">
        <v>0.5</v>
      </c>
      <c r="R33" s="57">
        <v>0.8</v>
      </c>
      <c r="S33" s="57">
        <v>0.30000000000000004</v>
      </c>
    </row>
    <row r="34" spans="1:19" x14ac:dyDescent="0.25">
      <c r="A34" s="57" t="s">
        <v>105</v>
      </c>
      <c r="B34" s="57" t="s">
        <v>11</v>
      </c>
      <c r="C34" s="57">
        <v>30</v>
      </c>
      <c r="D34" s="57">
        <v>40</v>
      </c>
      <c r="E34" s="57">
        <v>40</v>
      </c>
      <c r="F34" s="57">
        <v>50</v>
      </c>
      <c r="G34" s="57">
        <v>45</v>
      </c>
      <c r="H34" s="57">
        <v>55</v>
      </c>
      <c r="I34" s="57">
        <v>65</v>
      </c>
      <c r="J34" s="57">
        <v>75</v>
      </c>
      <c r="L34" s="57">
        <v>0.2</v>
      </c>
      <c r="M34" s="57">
        <v>0.15</v>
      </c>
      <c r="N34" s="57">
        <v>0.27</v>
      </c>
      <c r="O34" s="57">
        <v>0.19</v>
      </c>
      <c r="Q34" s="57">
        <v>0.06</v>
      </c>
      <c r="R34" s="57">
        <v>0.06</v>
      </c>
      <c r="S34" s="57">
        <v>0</v>
      </c>
    </row>
    <row r="35" spans="1:19" x14ac:dyDescent="0.25">
      <c r="A35" s="57" t="s">
        <v>106</v>
      </c>
      <c r="B35" s="57" t="s">
        <v>11</v>
      </c>
      <c r="C35" s="57">
        <v>10</v>
      </c>
      <c r="D35" s="57">
        <v>15</v>
      </c>
      <c r="E35" s="57">
        <v>20</v>
      </c>
      <c r="F35" s="57">
        <v>20</v>
      </c>
      <c r="G35" s="57">
        <v>35</v>
      </c>
      <c r="H35" s="57">
        <v>40</v>
      </c>
      <c r="I35" s="57">
        <v>50</v>
      </c>
      <c r="J35" s="57">
        <v>45</v>
      </c>
      <c r="L35" s="57">
        <v>0.28999999999999998</v>
      </c>
      <c r="M35" s="57">
        <v>0.17</v>
      </c>
      <c r="N35" s="57">
        <v>0.44</v>
      </c>
      <c r="O35" s="57">
        <v>0.5</v>
      </c>
      <c r="Q35" s="57">
        <v>0.18</v>
      </c>
      <c r="R35" s="57">
        <v>0.54</v>
      </c>
      <c r="S35" s="57">
        <v>0.36000000000000004</v>
      </c>
    </row>
    <row r="36" spans="1:19" x14ac:dyDescent="0.25">
      <c r="A36" s="57" t="s">
        <v>107</v>
      </c>
      <c r="B36" s="57" t="s">
        <v>11</v>
      </c>
      <c r="C36" s="57">
        <v>10</v>
      </c>
      <c r="D36" s="57">
        <v>15</v>
      </c>
      <c r="E36" s="57">
        <v>20</v>
      </c>
      <c r="F36" s="57">
        <v>30</v>
      </c>
      <c r="G36" s="57">
        <v>50</v>
      </c>
      <c r="H36" s="57">
        <v>55</v>
      </c>
      <c r="I36" s="57">
        <v>70</v>
      </c>
      <c r="J36" s="57">
        <v>80</v>
      </c>
      <c r="L36" s="57">
        <v>0.12</v>
      </c>
      <c r="M36" s="57">
        <v>0.09</v>
      </c>
      <c r="N36" s="57">
        <v>0.21</v>
      </c>
      <c r="O36" s="57">
        <v>0.27</v>
      </c>
      <c r="Q36" s="57">
        <v>0.3</v>
      </c>
      <c r="R36" s="57">
        <v>0.62</v>
      </c>
      <c r="S36" s="57">
        <v>0.32</v>
      </c>
    </row>
    <row r="37" spans="1:19" x14ac:dyDescent="0.25">
      <c r="A37" s="57" t="s">
        <v>108</v>
      </c>
      <c r="B37" s="57" t="s">
        <v>11</v>
      </c>
      <c r="C37" s="57">
        <v>0</v>
      </c>
      <c r="D37" s="57">
        <v>5</v>
      </c>
      <c r="E37" s="57">
        <v>15</v>
      </c>
      <c r="F37" s="57">
        <v>40</v>
      </c>
      <c r="G37" s="57">
        <v>50</v>
      </c>
      <c r="H37" s="57">
        <v>55</v>
      </c>
      <c r="I37" s="57">
        <v>25</v>
      </c>
      <c r="J37" s="57">
        <v>30</v>
      </c>
      <c r="L37" s="57">
        <v>0.34</v>
      </c>
      <c r="M37" s="57">
        <v>0.12</v>
      </c>
      <c r="N37" s="57">
        <v>0.32</v>
      </c>
      <c r="O37" s="57">
        <v>0.13</v>
      </c>
      <c r="Q37" s="57">
        <v>0.26</v>
      </c>
      <c r="R37" s="57">
        <v>0.22</v>
      </c>
      <c r="S37" s="57">
        <v>-4.0000000000000008E-2</v>
      </c>
    </row>
    <row r="38" spans="1:19" x14ac:dyDescent="0.25">
      <c r="A38" s="57" t="s">
        <v>109</v>
      </c>
      <c r="B38" s="57" t="s">
        <v>11</v>
      </c>
      <c r="C38" s="57">
        <v>15</v>
      </c>
      <c r="D38" s="57">
        <v>10</v>
      </c>
      <c r="E38" s="57">
        <v>10</v>
      </c>
      <c r="F38" s="57">
        <v>25</v>
      </c>
      <c r="G38" s="57">
        <v>45</v>
      </c>
      <c r="H38" s="57">
        <v>55</v>
      </c>
      <c r="I38" s="57">
        <v>60</v>
      </c>
      <c r="J38" s="57">
        <v>80</v>
      </c>
      <c r="L38" s="57">
        <v>0.2</v>
      </c>
      <c r="M38" s="57">
        <v>0.11</v>
      </c>
      <c r="N38" s="57">
        <v>0.22</v>
      </c>
      <c r="O38" s="57">
        <v>0.14000000000000001</v>
      </c>
      <c r="Q38" s="57">
        <v>0.12</v>
      </c>
      <c r="R38" s="57">
        <v>0.14000000000000001</v>
      </c>
      <c r="S38" s="57">
        <v>2.0000000000000018E-2</v>
      </c>
    </row>
    <row r="39" spans="1:19" x14ac:dyDescent="0.25">
      <c r="A39" s="57" t="s">
        <v>110</v>
      </c>
      <c r="B39" s="57" t="s">
        <v>11</v>
      </c>
      <c r="C39" s="57">
        <v>0</v>
      </c>
      <c r="D39" s="57">
        <v>0</v>
      </c>
      <c r="E39" s="57">
        <v>10</v>
      </c>
      <c r="F39" s="57">
        <v>30</v>
      </c>
      <c r="G39" s="57">
        <v>40</v>
      </c>
      <c r="H39" s="57">
        <v>45</v>
      </c>
      <c r="I39" s="57">
        <v>60</v>
      </c>
      <c r="J39" s="57">
        <v>60</v>
      </c>
      <c r="L39" s="57">
        <v>0.66</v>
      </c>
      <c r="M39" s="57">
        <v>0.26</v>
      </c>
      <c r="N39" s="57">
        <v>1.38</v>
      </c>
      <c r="O39" s="57">
        <v>0.44</v>
      </c>
      <c r="Q39" s="57">
        <v>0.42</v>
      </c>
      <c r="R39" s="57">
        <v>0.6</v>
      </c>
      <c r="S39" s="57">
        <v>0.18</v>
      </c>
    </row>
    <row r="40" spans="1:19" x14ac:dyDescent="0.25">
      <c r="A40" s="57" t="s">
        <v>111</v>
      </c>
      <c r="B40" s="57" t="s">
        <v>11</v>
      </c>
      <c r="C40" s="57">
        <v>15</v>
      </c>
      <c r="D40" s="57">
        <v>30</v>
      </c>
      <c r="E40" s="57">
        <v>10</v>
      </c>
      <c r="F40" s="57">
        <v>20</v>
      </c>
      <c r="G40" s="57">
        <v>45</v>
      </c>
      <c r="H40" s="57">
        <v>45</v>
      </c>
      <c r="I40" s="57">
        <v>55</v>
      </c>
      <c r="J40" s="57">
        <v>75</v>
      </c>
      <c r="L40" s="57">
        <v>0.22</v>
      </c>
      <c r="M40" s="57">
        <v>0.05</v>
      </c>
      <c r="N40" s="57">
        <v>0.25</v>
      </c>
      <c r="O40" s="57">
        <v>0.28999999999999998</v>
      </c>
      <c r="Q40" s="57">
        <v>0.14000000000000001</v>
      </c>
      <c r="R40" s="57">
        <v>0.2</v>
      </c>
      <c r="S40" s="57">
        <v>0.06</v>
      </c>
    </row>
    <row r="41" spans="1:19" x14ac:dyDescent="0.25">
      <c r="A41" s="57" t="s">
        <v>112</v>
      </c>
      <c r="B41" s="57" t="s">
        <v>11</v>
      </c>
      <c r="C41" s="57">
        <v>5</v>
      </c>
      <c r="D41" s="57">
        <v>5</v>
      </c>
      <c r="E41" s="57">
        <v>5</v>
      </c>
      <c r="F41" s="57">
        <v>30</v>
      </c>
      <c r="G41" s="57">
        <v>50</v>
      </c>
      <c r="H41" s="57">
        <v>55</v>
      </c>
      <c r="I41" s="57">
        <v>65</v>
      </c>
      <c r="J41" s="57">
        <v>65</v>
      </c>
      <c r="L41" s="57">
        <v>0.22</v>
      </c>
      <c r="M41" s="57">
        <v>0.09</v>
      </c>
      <c r="N41" s="57">
        <v>0.3</v>
      </c>
      <c r="O41" s="57">
        <v>0.1</v>
      </c>
      <c r="Q41" s="57">
        <v>0.18</v>
      </c>
      <c r="R41" s="57">
        <v>0.24</v>
      </c>
      <c r="S41" s="57">
        <v>0.06</v>
      </c>
    </row>
    <row r="42" spans="1:19" x14ac:dyDescent="0.25">
      <c r="A42" s="57" t="s">
        <v>113</v>
      </c>
      <c r="B42" s="57" t="s">
        <v>11</v>
      </c>
      <c r="C42" s="57">
        <v>15</v>
      </c>
      <c r="D42" s="57">
        <v>25</v>
      </c>
      <c r="E42" s="57">
        <v>30</v>
      </c>
      <c r="F42" s="57">
        <v>35</v>
      </c>
      <c r="G42" s="57">
        <v>40</v>
      </c>
      <c r="H42" s="57">
        <v>40</v>
      </c>
      <c r="I42" s="57">
        <v>50</v>
      </c>
      <c r="J42" s="57">
        <v>55</v>
      </c>
      <c r="L42" s="57">
        <v>0.21</v>
      </c>
      <c r="M42" s="57">
        <v>0.12</v>
      </c>
      <c r="N42" s="57">
        <v>0.52</v>
      </c>
      <c r="O42" s="57">
        <v>0.67</v>
      </c>
      <c r="Q42" s="57">
        <v>0.38</v>
      </c>
      <c r="R42" s="57">
        <v>0.76</v>
      </c>
      <c r="S42" s="57">
        <v>0.38</v>
      </c>
    </row>
  </sheetData>
  <mergeCells count="3">
    <mergeCell ref="C1:J1"/>
    <mergeCell ref="L1:O1"/>
    <mergeCell ref="Q1:S1"/>
  </mergeCells>
  <phoneticPr fontId="6" type="noConversion"/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E6AD-7FEC-4090-9D0E-B224D9D7531A}">
  <dimension ref="A1:K41"/>
  <sheetViews>
    <sheetView workbookViewId="0"/>
  </sheetViews>
  <sheetFormatPr defaultRowHeight="15" x14ac:dyDescent="0.25"/>
  <cols>
    <col min="1" max="1" width="8" bestFit="1" customWidth="1"/>
    <col min="2" max="2" width="10.5703125" bestFit="1" customWidth="1"/>
    <col min="3" max="11" width="23.5703125" style="57" customWidth="1"/>
  </cols>
  <sheetData>
    <row r="1" spans="1:11" s="1" customFormat="1" x14ac:dyDescent="0.25">
      <c r="A1" s="59" t="s">
        <v>73</v>
      </c>
      <c r="B1" s="59" t="s">
        <v>53</v>
      </c>
      <c r="C1" s="59" t="s">
        <v>114</v>
      </c>
      <c r="D1" s="59" t="s">
        <v>115</v>
      </c>
      <c r="E1" s="59" t="s">
        <v>116</v>
      </c>
      <c r="F1" s="59" t="s">
        <v>117</v>
      </c>
      <c r="G1" s="59" t="s">
        <v>121</v>
      </c>
      <c r="H1" s="59" t="s">
        <v>122</v>
      </c>
      <c r="I1" s="59" t="s">
        <v>118</v>
      </c>
      <c r="J1" s="59" t="s">
        <v>119</v>
      </c>
      <c r="K1" s="59" t="s">
        <v>120</v>
      </c>
    </row>
    <row r="2" spans="1:11" x14ac:dyDescent="0.25">
      <c r="A2" s="57" t="s">
        <v>74</v>
      </c>
      <c r="B2" s="57" t="s">
        <v>12</v>
      </c>
      <c r="C2" s="57">
        <v>-0.65</v>
      </c>
      <c r="D2" s="57">
        <v>-1.08</v>
      </c>
      <c r="E2" s="57">
        <v>0.53</v>
      </c>
      <c r="F2" s="57">
        <v>0.55000000000000004</v>
      </c>
      <c r="G2" s="57">
        <v>0.51</v>
      </c>
      <c r="H2" s="57">
        <v>0</v>
      </c>
      <c r="I2" s="57">
        <v>-0.24</v>
      </c>
      <c r="J2" s="57">
        <v>-0.17</v>
      </c>
      <c r="K2" s="57">
        <v>-0.31</v>
      </c>
    </row>
    <row r="3" spans="1:11" x14ac:dyDescent="0.25">
      <c r="A3" s="57" t="s">
        <v>75</v>
      </c>
      <c r="B3" s="57" t="s">
        <v>12</v>
      </c>
      <c r="C3" s="57">
        <v>-0.21</v>
      </c>
      <c r="D3" s="57">
        <v>-0.38</v>
      </c>
      <c r="E3" s="57">
        <v>0.53</v>
      </c>
      <c r="F3" s="57">
        <v>1.2</v>
      </c>
      <c r="G3" s="57">
        <v>-1.17</v>
      </c>
      <c r="H3" s="57">
        <v>-1.3</v>
      </c>
      <c r="I3" s="57">
        <v>-0.66</v>
      </c>
      <c r="J3" s="57">
        <v>-1.05</v>
      </c>
      <c r="K3" s="57">
        <v>-1.25</v>
      </c>
    </row>
    <row r="4" spans="1:11" x14ac:dyDescent="0.25">
      <c r="A4" s="57" t="s">
        <v>76</v>
      </c>
      <c r="B4" s="57" t="s">
        <v>12</v>
      </c>
      <c r="C4" s="57">
        <v>0.68</v>
      </c>
      <c r="D4" s="57">
        <v>-0.38</v>
      </c>
      <c r="E4" s="57">
        <v>-0.86</v>
      </c>
      <c r="F4" s="57">
        <v>-0.77</v>
      </c>
      <c r="G4" s="57">
        <v>-0.5</v>
      </c>
      <c r="H4" s="57">
        <v>-0.96</v>
      </c>
      <c r="I4" s="57">
        <v>-0.24</v>
      </c>
      <c r="J4" s="57">
        <v>-0.48</v>
      </c>
      <c r="K4" s="57">
        <v>-1.05</v>
      </c>
    </row>
    <row r="5" spans="1:11" x14ac:dyDescent="0.25">
      <c r="A5" s="57" t="s">
        <v>77</v>
      </c>
      <c r="B5" s="57" t="s">
        <v>12</v>
      </c>
      <c r="C5" s="57">
        <v>0.23</v>
      </c>
      <c r="D5" s="57">
        <v>-1.78</v>
      </c>
      <c r="E5" s="57">
        <v>-1.56</v>
      </c>
      <c r="F5" s="57">
        <v>-1.42</v>
      </c>
      <c r="G5" s="57">
        <v>-1.68</v>
      </c>
      <c r="H5" s="57">
        <v>-1.65</v>
      </c>
      <c r="I5" s="57">
        <v>-0.66</v>
      </c>
      <c r="J5" s="57">
        <v>-1.82</v>
      </c>
      <c r="K5" s="57">
        <v>-0.05</v>
      </c>
    </row>
    <row r="6" spans="1:11" x14ac:dyDescent="0.25">
      <c r="A6" s="57" t="s">
        <v>78</v>
      </c>
      <c r="B6" s="57" t="s">
        <v>12</v>
      </c>
      <c r="C6" s="57">
        <v>1.57</v>
      </c>
      <c r="D6" s="57">
        <v>0.32</v>
      </c>
      <c r="E6" s="57">
        <v>-0.16</v>
      </c>
      <c r="F6" s="57">
        <v>-1.42</v>
      </c>
      <c r="G6" s="57">
        <v>-0.16</v>
      </c>
      <c r="H6" s="57">
        <v>-0.96</v>
      </c>
      <c r="I6" s="57">
        <v>0.17</v>
      </c>
      <c r="J6" s="57">
        <v>0.49</v>
      </c>
      <c r="K6" s="57">
        <v>-1.65</v>
      </c>
    </row>
    <row r="7" spans="1:11" x14ac:dyDescent="0.25">
      <c r="A7" s="57" t="s">
        <v>79</v>
      </c>
      <c r="B7" s="57" t="s">
        <v>12</v>
      </c>
      <c r="C7" s="57">
        <v>-0.21</v>
      </c>
      <c r="D7" s="57">
        <v>0.32</v>
      </c>
      <c r="E7" s="57">
        <v>1.23</v>
      </c>
      <c r="F7" s="57">
        <v>1.2</v>
      </c>
      <c r="G7" s="57">
        <v>0.01</v>
      </c>
      <c r="H7" s="57">
        <v>-0.61</v>
      </c>
      <c r="I7" s="57">
        <v>-0.24</v>
      </c>
      <c r="J7" s="57">
        <v>-0.95</v>
      </c>
      <c r="K7" s="57">
        <v>-1.25</v>
      </c>
    </row>
    <row r="8" spans="1:11" x14ac:dyDescent="0.25">
      <c r="A8" s="57" t="s">
        <v>80</v>
      </c>
      <c r="B8" s="57" t="s">
        <v>12</v>
      </c>
      <c r="C8" s="57">
        <v>-0.65</v>
      </c>
      <c r="D8" s="57">
        <v>0.32</v>
      </c>
      <c r="E8" s="57">
        <v>-1.56</v>
      </c>
      <c r="F8" s="57">
        <v>-0.11</v>
      </c>
      <c r="G8" s="57">
        <v>-0.5</v>
      </c>
      <c r="H8" s="57">
        <v>0.61</v>
      </c>
      <c r="I8" s="57">
        <v>-0.24</v>
      </c>
      <c r="J8" s="57">
        <v>-0.43</v>
      </c>
      <c r="K8" s="57">
        <v>-0.85</v>
      </c>
    </row>
    <row r="9" spans="1:11" x14ac:dyDescent="0.25">
      <c r="A9" s="57" t="s">
        <v>81</v>
      </c>
      <c r="B9" s="57" t="s">
        <v>12</v>
      </c>
      <c r="C9" s="57">
        <v>-0.65</v>
      </c>
      <c r="D9" s="57">
        <v>-0.38</v>
      </c>
      <c r="E9" s="57">
        <v>-0.86</v>
      </c>
      <c r="F9" s="57">
        <v>-0.11</v>
      </c>
      <c r="G9" s="57">
        <v>-0.5</v>
      </c>
      <c r="H9" s="57">
        <v>-0.52</v>
      </c>
      <c r="I9" s="57">
        <v>-1.08</v>
      </c>
      <c r="J9" s="57">
        <v>0.13</v>
      </c>
      <c r="K9" s="57">
        <v>-1.52</v>
      </c>
    </row>
    <row r="10" spans="1:11" x14ac:dyDescent="0.25">
      <c r="A10" s="57" t="s">
        <v>82</v>
      </c>
      <c r="B10" s="57" t="s">
        <v>12</v>
      </c>
      <c r="C10" s="57">
        <v>-1.1000000000000001</v>
      </c>
      <c r="D10" s="57">
        <v>-1.78</v>
      </c>
      <c r="E10" s="57">
        <v>-0.86</v>
      </c>
      <c r="F10" s="57">
        <v>-0.77</v>
      </c>
      <c r="G10" s="57">
        <v>-1.34</v>
      </c>
      <c r="H10" s="57">
        <v>-1.39</v>
      </c>
      <c r="I10" s="57">
        <v>-0.66</v>
      </c>
      <c r="J10" s="57">
        <v>-1.1000000000000001</v>
      </c>
      <c r="K10" s="57">
        <v>-0.72</v>
      </c>
    </row>
    <row r="11" spans="1:11" x14ac:dyDescent="0.25">
      <c r="A11" s="57" t="s">
        <v>83</v>
      </c>
      <c r="B11" s="57" t="s">
        <v>12</v>
      </c>
      <c r="C11" s="57">
        <v>-0.65</v>
      </c>
      <c r="D11" s="57">
        <v>-2.48</v>
      </c>
      <c r="E11" s="57">
        <v>-0.86</v>
      </c>
      <c r="F11" s="57">
        <v>-0.77</v>
      </c>
      <c r="G11" s="57">
        <v>-0.67</v>
      </c>
      <c r="H11" s="57">
        <v>-1.48</v>
      </c>
      <c r="I11" s="57">
        <v>-1.5</v>
      </c>
      <c r="J11" s="57">
        <v>-1.67</v>
      </c>
      <c r="K11" s="57">
        <v>-0.78</v>
      </c>
    </row>
    <row r="12" spans="1:11" x14ac:dyDescent="0.25">
      <c r="A12" s="57" t="s">
        <v>84</v>
      </c>
      <c r="B12" s="57" t="s">
        <v>12</v>
      </c>
      <c r="C12" s="57">
        <v>2.0099999999999998</v>
      </c>
      <c r="D12" s="57">
        <v>0.32</v>
      </c>
      <c r="E12" s="57">
        <v>1.23</v>
      </c>
      <c r="F12" s="57">
        <v>1.2</v>
      </c>
      <c r="G12" s="57">
        <v>0.34</v>
      </c>
      <c r="H12" s="57">
        <v>0.7</v>
      </c>
      <c r="I12" s="57">
        <v>1.85</v>
      </c>
      <c r="J12" s="57">
        <v>0.8</v>
      </c>
      <c r="K12" s="57">
        <v>0.16</v>
      </c>
    </row>
    <row r="13" spans="1:11" x14ac:dyDescent="0.25">
      <c r="A13" s="57" t="s">
        <v>85</v>
      </c>
      <c r="B13" s="57" t="s">
        <v>12</v>
      </c>
      <c r="C13" s="57">
        <v>-0.65</v>
      </c>
      <c r="D13" s="57">
        <v>0.32</v>
      </c>
      <c r="E13" s="57">
        <v>0.53</v>
      </c>
      <c r="F13" s="57">
        <v>-0.11</v>
      </c>
      <c r="G13" s="57">
        <v>0.17</v>
      </c>
      <c r="H13" s="57">
        <v>-0.26</v>
      </c>
      <c r="I13" s="57">
        <v>-0.66</v>
      </c>
      <c r="J13" s="57">
        <v>-0.23</v>
      </c>
      <c r="K13" s="57">
        <v>0.22</v>
      </c>
    </row>
    <row r="14" spans="1:11" x14ac:dyDescent="0.25">
      <c r="A14" s="57" t="s">
        <v>86</v>
      </c>
      <c r="B14" s="57" t="s">
        <v>12</v>
      </c>
      <c r="C14" s="57">
        <v>-1.54</v>
      </c>
      <c r="D14" s="57">
        <v>-1.08</v>
      </c>
      <c r="E14" s="57">
        <v>-0.86</v>
      </c>
      <c r="F14" s="57">
        <v>-0.11</v>
      </c>
      <c r="G14" s="57">
        <v>-1.17</v>
      </c>
      <c r="H14" s="57">
        <v>-0.35</v>
      </c>
      <c r="I14" s="57">
        <v>-0.66</v>
      </c>
      <c r="J14" s="57">
        <v>0.13</v>
      </c>
      <c r="K14" s="57">
        <v>-0.57999999999999996</v>
      </c>
    </row>
    <row r="15" spans="1:11" x14ac:dyDescent="0.25">
      <c r="A15" s="57" t="s">
        <v>87</v>
      </c>
      <c r="B15" s="57" t="s">
        <v>12</v>
      </c>
      <c r="C15" s="57">
        <v>-0.21</v>
      </c>
      <c r="D15" s="57">
        <v>-0.38</v>
      </c>
      <c r="E15" s="57">
        <v>-0.16</v>
      </c>
      <c r="F15" s="57">
        <v>1.2</v>
      </c>
      <c r="G15" s="57">
        <v>0.34</v>
      </c>
      <c r="H15" s="57">
        <v>-0.17</v>
      </c>
      <c r="I15" s="57">
        <v>-0.66</v>
      </c>
      <c r="J15" s="57">
        <v>0.49</v>
      </c>
      <c r="K15" s="57">
        <v>-0.25</v>
      </c>
    </row>
    <row r="16" spans="1:11" x14ac:dyDescent="0.25">
      <c r="A16" s="57" t="s">
        <v>88</v>
      </c>
      <c r="B16" s="57" t="s">
        <v>12</v>
      </c>
      <c r="C16" s="57">
        <v>-0.65</v>
      </c>
      <c r="D16" s="57">
        <v>-0.38</v>
      </c>
      <c r="E16" s="57">
        <v>0.53</v>
      </c>
      <c r="F16" s="57">
        <v>-0.11</v>
      </c>
      <c r="G16" s="57">
        <v>-0.67</v>
      </c>
      <c r="H16" s="57">
        <v>-0.43</v>
      </c>
      <c r="I16" s="57">
        <v>-0.24</v>
      </c>
      <c r="J16" s="57">
        <v>1.83</v>
      </c>
      <c r="K16" s="57">
        <v>0.22</v>
      </c>
    </row>
    <row r="17" spans="1:11" x14ac:dyDescent="0.25">
      <c r="A17" s="57" t="s">
        <v>89</v>
      </c>
      <c r="B17" s="57" t="s">
        <v>12</v>
      </c>
      <c r="C17" s="57">
        <v>-0.65</v>
      </c>
      <c r="D17" s="57">
        <v>1.02</v>
      </c>
      <c r="E17" s="57">
        <v>-0.16</v>
      </c>
      <c r="F17" s="57">
        <v>1.2</v>
      </c>
      <c r="G17" s="57">
        <v>-1.34</v>
      </c>
      <c r="H17" s="57">
        <v>-0.26</v>
      </c>
      <c r="I17" s="57">
        <v>-0.66</v>
      </c>
      <c r="J17" s="57">
        <v>0.6</v>
      </c>
      <c r="K17" s="57">
        <v>-0.18</v>
      </c>
    </row>
    <row r="18" spans="1:11" x14ac:dyDescent="0.25">
      <c r="A18" s="57" t="s">
        <v>90</v>
      </c>
      <c r="B18" s="57" t="s">
        <v>12</v>
      </c>
      <c r="C18" s="57">
        <v>-0.65</v>
      </c>
      <c r="D18" s="57">
        <v>-1.78</v>
      </c>
      <c r="E18" s="57">
        <v>-0.16</v>
      </c>
      <c r="F18" s="57">
        <v>-0.11</v>
      </c>
      <c r="G18" s="57">
        <v>-0.33</v>
      </c>
      <c r="H18" s="57">
        <v>-1.04</v>
      </c>
      <c r="I18" s="57">
        <v>-0.24</v>
      </c>
      <c r="J18" s="57">
        <v>-0.43</v>
      </c>
      <c r="K18" s="57">
        <v>-0.98</v>
      </c>
    </row>
    <row r="19" spans="1:11" x14ac:dyDescent="0.25">
      <c r="A19" s="57" t="s">
        <v>91</v>
      </c>
      <c r="B19" s="57" t="s">
        <v>12</v>
      </c>
      <c r="C19" s="57">
        <v>-0.65</v>
      </c>
      <c r="D19" s="57">
        <v>-2.48</v>
      </c>
      <c r="E19" s="57">
        <v>-2.25</v>
      </c>
      <c r="F19" s="57">
        <v>-1.42</v>
      </c>
      <c r="G19" s="57">
        <v>-1.84</v>
      </c>
      <c r="H19" s="57">
        <v>-1.48</v>
      </c>
      <c r="I19" s="57">
        <v>0.17</v>
      </c>
      <c r="J19" s="57">
        <v>-2.34</v>
      </c>
      <c r="K19" s="57">
        <v>-0.98</v>
      </c>
    </row>
    <row r="20" spans="1:11" x14ac:dyDescent="0.25">
      <c r="A20" s="57" t="s">
        <v>92</v>
      </c>
      <c r="B20" s="57" t="s">
        <v>12</v>
      </c>
      <c r="C20" s="57">
        <v>1.1200000000000001</v>
      </c>
      <c r="D20" s="57">
        <v>1.02</v>
      </c>
      <c r="E20" s="57">
        <v>1.23</v>
      </c>
      <c r="F20" s="57">
        <v>0.55000000000000004</v>
      </c>
      <c r="G20" s="57">
        <v>-0.67</v>
      </c>
      <c r="H20" s="57">
        <v>1.04</v>
      </c>
      <c r="I20" s="57">
        <v>0.59</v>
      </c>
      <c r="J20" s="57">
        <v>1.1100000000000001</v>
      </c>
      <c r="K20" s="57">
        <v>-0.38</v>
      </c>
    </row>
    <row r="21" spans="1:11" x14ac:dyDescent="0.25">
      <c r="A21" s="57" t="s">
        <v>93</v>
      </c>
      <c r="B21" s="57" t="s">
        <v>12</v>
      </c>
      <c r="C21" s="57">
        <v>-1.54</v>
      </c>
      <c r="D21" s="57">
        <v>-0.38</v>
      </c>
      <c r="E21" s="57">
        <v>-0.16</v>
      </c>
      <c r="F21" s="57">
        <v>0.55000000000000004</v>
      </c>
      <c r="G21" s="57">
        <v>-1.34</v>
      </c>
      <c r="H21" s="57">
        <v>-1.04</v>
      </c>
      <c r="I21" s="57">
        <v>-0.66</v>
      </c>
      <c r="J21" s="57">
        <v>-1.56</v>
      </c>
      <c r="K21" s="57">
        <v>-1.32</v>
      </c>
    </row>
    <row r="22" spans="1:11" x14ac:dyDescent="0.25">
      <c r="A22" s="57" t="s">
        <v>94</v>
      </c>
      <c r="B22" s="57" t="s">
        <v>11</v>
      </c>
      <c r="C22" s="57">
        <v>-0.65</v>
      </c>
      <c r="D22" s="57">
        <v>0.32</v>
      </c>
      <c r="E22" s="57">
        <v>1.23</v>
      </c>
      <c r="F22" s="57">
        <v>1.2</v>
      </c>
      <c r="G22" s="57">
        <v>0.34</v>
      </c>
      <c r="H22" s="57">
        <v>0.35</v>
      </c>
      <c r="I22" s="57">
        <v>-0.66</v>
      </c>
      <c r="J22" s="57">
        <v>0.96</v>
      </c>
      <c r="K22" s="57">
        <v>1.36</v>
      </c>
    </row>
    <row r="23" spans="1:11" x14ac:dyDescent="0.25">
      <c r="A23" s="57" t="s">
        <v>95</v>
      </c>
      <c r="B23" s="57" t="s">
        <v>11</v>
      </c>
      <c r="C23" s="57">
        <v>-1.1000000000000001</v>
      </c>
      <c r="D23" s="57">
        <v>-0.38</v>
      </c>
      <c r="E23" s="57">
        <v>-0.16</v>
      </c>
      <c r="F23" s="57">
        <v>0.55000000000000004</v>
      </c>
      <c r="G23" s="57">
        <v>-1.34</v>
      </c>
      <c r="H23" s="57">
        <v>-1.65</v>
      </c>
      <c r="I23" s="57">
        <v>-1.08</v>
      </c>
      <c r="J23" s="57">
        <v>-0.23</v>
      </c>
      <c r="K23" s="57">
        <v>-0.18</v>
      </c>
    </row>
    <row r="24" spans="1:11" x14ac:dyDescent="0.25">
      <c r="A24" s="57" t="s">
        <v>96</v>
      </c>
      <c r="B24" s="57" t="s">
        <v>11</v>
      </c>
      <c r="C24" s="57">
        <v>-1.54</v>
      </c>
      <c r="D24" s="57">
        <v>-1.78</v>
      </c>
      <c r="E24" s="57">
        <v>-0.86</v>
      </c>
      <c r="F24" s="57">
        <v>-0.11</v>
      </c>
      <c r="G24" s="57">
        <v>-1.34</v>
      </c>
      <c r="H24" s="57">
        <v>-0.96</v>
      </c>
      <c r="I24" s="57">
        <v>-1.92</v>
      </c>
      <c r="J24" s="57">
        <v>-2.08</v>
      </c>
      <c r="K24" s="57">
        <v>-1.59</v>
      </c>
    </row>
    <row r="25" spans="1:11" x14ac:dyDescent="0.25">
      <c r="A25" s="57" t="s">
        <v>97</v>
      </c>
      <c r="B25" s="57" t="s">
        <v>11</v>
      </c>
      <c r="C25" s="57">
        <v>-1.1000000000000001</v>
      </c>
      <c r="D25" s="57">
        <v>-0.38</v>
      </c>
      <c r="E25" s="57">
        <v>-0.86</v>
      </c>
      <c r="F25" s="57">
        <v>-0.11</v>
      </c>
      <c r="G25" s="57">
        <v>0.51</v>
      </c>
      <c r="H25" s="57">
        <v>0.09</v>
      </c>
      <c r="I25" s="57">
        <v>-0.66</v>
      </c>
      <c r="J25" s="57">
        <v>-1.82</v>
      </c>
      <c r="K25" s="57">
        <v>0.42</v>
      </c>
    </row>
    <row r="26" spans="1:11" x14ac:dyDescent="0.25">
      <c r="A26" s="57" t="s">
        <v>98</v>
      </c>
      <c r="B26" s="57" t="s">
        <v>11</v>
      </c>
      <c r="C26" s="57">
        <v>-0.21</v>
      </c>
      <c r="D26" s="57">
        <v>-0.38</v>
      </c>
      <c r="E26" s="57">
        <v>-0.16</v>
      </c>
      <c r="F26" s="57">
        <v>1.2</v>
      </c>
      <c r="G26" s="57">
        <v>0.01</v>
      </c>
      <c r="H26" s="57">
        <v>0.09</v>
      </c>
      <c r="I26" s="57">
        <v>-0.24</v>
      </c>
      <c r="J26" s="57">
        <v>0.7</v>
      </c>
      <c r="K26" s="57">
        <v>0.49</v>
      </c>
    </row>
    <row r="27" spans="1:11" x14ac:dyDescent="0.25">
      <c r="A27" s="57" t="s">
        <v>99</v>
      </c>
      <c r="B27" s="57" t="s">
        <v>11</v>
      </c>
      <c r="C27" s="57">
        <v>-0.21</v>
      </c>
      <c r="D27" s="57">
        <v>-1.78</v>
      </c>
      <c r="E27" s="57">
        <v>-0.16</v>
      </c>
      <c r="F27" s="57">
        <v>-1.42</v>
      </c>
      <c r="G27" s="57">
        <v>-0.16</v>
      </c>
      <c r="H27" s="57">
        <v>-0.52</v>
      </c>
      <c r="I27" s="57">
        <v>-0.66</v>
      </c>
      <c r="J27" s="57">
        <v>-1.82</v>
      </c>
      <c r="K27" s="57">
        <v>-1.45</v>
      </c>
    </row>
    <row r="28" spans="1:11" x14ac:dyDescent="0.25">
      <c r="A28" s="57" t="s">
        <v>100</v>
      </c>
      <c r="B28" s="57" t="s">
        <v>11</v>
      </c>
      <c r="C28" s="57">
        <v>0.23</v>
      </c>
      <c r="D28" s="57">
        <v>-2.48</v>
      </c>
      <c r="E28" s="57">
        <v>-2.25</v>
      </c>
      <c r="F28" s="57">
        <v>-1.42</v>
      </c>
      <c r="G28" s="57">
        <v>-0.83</v>
      </c>
      <c r="H28" s="57">
        <v>-1.65</v>
      </c>
      <c r="I28" s="57">
        <v>-0.24</v>
      </c>
      <c r="J28" s="57">
        <v>-2.0299999999999998</v>
      </c>
      <c r="K28" s="57">
        <v>-2.46</v>
      </c>
    </row>
    <row r="29" spans="1:11" x14ac:dyDescent="0.25">
      <c r="A29" s="57" t="s">
        <v>101</v>
      </c>
      <c r="B29" s="57" t="s">
        <v>11</v>
      </c>
      <c r="C29" s="57">
        <v>-1.1000000000000001</v>
      </c>
      <c r="D29" s="57">
        <v>-2.48</v>
      </c>
      <c r="E29" s="57">
        <v>-0.86</v>
      </c>
      <c r="F29" s="57">
        <v>-2.74</v>
      </c>
      <c r="G29" s="57">
        <v>-0.83</v>
      </c>
      <c r="H29" s="57">
        <v>-0.52</v>
      </c>
      <c r="I29" s="57">
        <v>-1.5</v>
      </c>
      <c r="J29" s="57">
        <v>-0.59</v>
      </c>
      <c r="K29" s="57">
        <v>-0.85</v>
      </c>
    </row>
    <row r="30" spans="1:11" x14ac:dyDescent="0.25">
      <c r="A30" s="57" t="s">
        <v>102</v>
      </c>
      <c r="B30" s="57" t="s">
        <v>11</v>
      </c>
      <c r="C30" s="57">
        <v>-0.21</v>
      </c>
      <c r="D30" s="57">
        <v>1.02</v>
      </c>
      <c r="E30" s="57">
        <v>0.53</v>
      </c>
      <c r="F30" s="57">
        <v>1.2</v>
      </c>
      <c r="G30" s="57">
        <v>0.01</v>
      </c>
      <c r="H30" s="57">
        <v>-0.17</v>
      </c>
      <c r="I30" s="57">
        <v>-0.24</v>
      </c>
      <c r="J30" s="57">
        <v>0.75</v>
      </c>
      <c r="K30" s="57">
        <v>0.96</v>
      </c>
    </row>
    <row r="31" spans="1:11" x14ac:dyDescent="0.25">
      <c r="A31" s="57" t="s">
        <v>103</v>
      </c>
      <c r="B31" s="57" t="s">
        <v>11</v>
      </c>
      <c r="C31" s="57">
        <v>-1.54</v>
      </c>
      <c r="D31" s="57">
        <v>-0.38</v>
      </c>
      <c r="E31" s="57">
        <v>-1.56</v>
      </c>
      <c r="F31" s="57">
        <v>-0.11</v>
      </c>
      <c r="G31" s="57">
        <v>-1</v>
      </c>
      <c r="H31" s="57">
        <v>-0.78</v>
      </c>
      <c r="I31" s="57">
        <v>-0.66</v>
      </c>
      <c r="J31" s="57">
        <v>-0.69</v>
      </c>
      <c r="K31" s="57">
        <v>-1.1200000000000001</v>
      </c>
    </row>
    <row r="32" spans="1:11" x14ac:dyDescent="0.25">
      <c r="A32" s="57" t="s">
        <v>104</v>
      </c>
      <c r="B32" s="57" t="s">
        <v>11</v>
      </c>
      <c r="C32" s="57">
        <v>0.23</v>
      </c>
      <c r="D32" s="57">
        <v>0.32</v>
      </c>
      <c r="E32" s="57">
        <v>-0.16</v>
      </c>
      <c r="F32" s="57">
        <v>-0.77</v>
      </c>
      <c r="G32" s="57">
        <v>1.69</v>
      </c>
      <c r="H32" s="57">
        <v>0.09</v>
      </c>
      <c r="I32" s="57">
        <v>-0.66</v>
      </c>
      <c r="J32" s="57">
        <v>-0.02</v>
      </c>
      <c r="K32" s="57">
        <v>-0.92</v>
      </c>
    </row>
    <row r="33" spans="1:11" x14ac:dyDescent="0.25">
      <c r="A33" s="57" t="s">
        <v>105</v>
      </c>
      <c r="B33" s="57" t="s">
        <v>11</v>
      </c>
      <c r="C33" s="57">
        <v>-1.1000000000000001</v>
      </c>
      <c r="D33" s="57">
        <v>-1.08</v>
      </c>
      <c r="E33" s="57">
        <v>-2.95</v>
      </c>
      <c r="F33" s="57">
        <v>-2.74</v>
      </c>
      <c r="G33" s="57">
        <v>-0.83</v>
      </c>
      <c r="H33" s="57">
        <v>-0.61</v>
      </c>
      <c r="I33" s="57">
        <v>-0.24</v>
      </c>
      <c r="J33" s="57">
        <v>-0.12</v>
      </c>
      <c r="K33" s="57">
        <v>-0.92</v>
      </c>
    </row>
    <row r="34" spans="1:11" x14ac:dyDescent="0.25">
      <c r="A34" s="57" t="s">
        <v>106</v>
      </c>
      <c r="B34" s="57" t="s">
        <v>11</v>
      </c>
      <c r="C34" s="57">
        <v>-1.54</v>
      </c>
      <c r="D34" s="57">
        <v>-1.08</v>
      </c>
      <c r="E34" s="57">
        <v>-0.16</v>
      </c>
      <c r="F34" s="57">
        <v>-0.11</v>
      </c>
      <c r="G34" s="57">
        <v>-0.67</v>
      </c>
      <c r="H34" s="57">
        <v>-1.3</v>
      </c>
      <c r="I34" s="57">
        <v>-1.08</v>
      </c>
      <c r="J34" s="57">
        <v>0.28999999999999998</v>
      </c>
      <c r="K34" s="57">
        <v>0.22</v>
      </c>
    </row>
    <row r="35" spans="1:11" x14ac:dyDescent="0.25">
      <c r="A35" s="57" t="s">
        <v>107</v>
      </c>
      <c r="B35" s="57" t="s">
        <v>11</v>
      </c>
      <c r="C35" s="57">
        <v>-0.21</v>
      </c>
      <c r="D35" s="57">
        <v>-1.78</v>
      </c>
      <c r="E35" s="57">
        <v>-0.86</v>
      </c>
      <c r="F35" s="57">
        <v>-0.11</v>
      </c>
      <c r="G35" s="57">
        <v>-1</v>
      </c>
      <c r="H35" s="57">
        <v>-1.1299999999999999</v>
      </c>
      <c r="I35" s="57">
        <v>0.17</v>
      </c>
      <c r="J35" s="57">
        <v>-1</v>
      </c>
      <c r="K35" s="57">
        <v>-0.51</v>
      </c>
    </row>
    <row r="36" spans="1:11" x14ac:dyDescent="0.25">
      <c r="A36" s="57" t="s">
        <v>108</v>
      </c>
      <c r="B36" s="57" t="s">
        <v>11</v>
      </c>
      <c r="C36" s="57">
        <v>0.23</v>
      </c>
      <c r="D36" s="57">
        <v>1.02</v>
      </c>
      <c r="E36" s="57">
        <v>0.53</v>
      </c>
      <c r="F36" s="57">
        <v>-0.11</v>
      </c>
      <c r="G36" s="57">
        <v>-0.33</v>
      </c>
      <c r="H36" s="57">
        <v>-0.43</v>
      </c>
      <c r="I36" s="57">
        <v>-1.08</v>
      </c>
      <c r="J36" s="57">
        <v>-0.43</v>
      </c>
      <c r="K36" s="57">
        <v>-1.18</v>
      </c>
    </row>
    <row r="37" spans="1:11" x14ac:dyDescent="0.25">
      <c r="A37" s="57" t="s">
        <v>109</v>
      </c>
      <c r="B37" s="57" t="s">
        <v>11</v>
      </c>
      <c r="C37" s="57">
        <v>0.68</v>
      </c>
      <c r="D37" s="57">
        <v>-0.38</v>
      </c>
      <c r="E37" s="57">
        <v>-2.25</v>
      </c>
      <c r="F37" s="57">
        <v>-0.77</v>
      </c>
      <c r="G37" s="57">
        <v>0.68</v>
      </c>
      <c r="H37" s="57">
        <v>-0.17</v>
      </c>
      <c r="I37" s="57">
        <v>0.59</v>
      </c>
      <c r="J37" s="57">
        <v>-0.95</v>
      </c>
      <c r="K37" s="57">
        <v>-1.52</v>
      </c>
    </row>
    <row r="38" spans="1:11" x14ac:dyDescent="0.25">
      <c r="A38" s="57" t="s">
        <v>110</v>
      </c>
      <c r="B38" s="57" t="s">
        <v>11</v>
      </c>
      <c r="C38" s="57">
        <v>0.68</v>
      </c>
      <c r="D38" s="57">
        <v>1.02</v>
      </c>
      <c r="E38" s="57">
        <v>0.53</v>
      </c>
      <c r="F38" s="57">
        <v>0.55000000000000004</v>
      </c>
      <c r="G38" s="57">
        <v>0.01</v>
      </c>
      <c r="H38" s="57">
        <v>3.31</v>
      </c>
      <c r="I38" s="57">
        <v>0.17</v>
      </c>
      <c r="J38" s="57">
        <v>0.91</v>
      </c>
      <c r="K38" s="57">
        <v>0.16</v>
      </c>
    </row>
    <row r="39" spans="1:11" x14ac:dyDescent="0.25">
      <c r="A39" s="57" t="s">
        <v>111</v>
      </c>
      <c r="B39" s="57" t="s">
        <v>11</v>
      </c>
      <c r="C39" s="57">
        <v>0.68</v>
      </c>
      <c r="D39" s="57">
        <v>-2.48</v>
      </c>
      <c r="E39" s="57">
        <v>-3.65</v>
      </c>
      <c r="F39" s="57">
        <v>-3.39</v>
      </c>
      <c r="G39" s="57">
        <v>0.17</v>
      </c>
      <c r="H39" s="57">
        <v>-0.87</v>
      </c>
      <c r="I39" s="57">
        <v>-0.66</v>
      </c>
      <c r="J39" s="57">
        <v>-1.92</v>
      </c>
      <c r="K39" s="57">
        <v>-2.46</v>
      </c>
    </row>
    <row r="40" spans="1:11" x14ac:dyDescent="0.25">
      <c r="A40" s="57" t="s">
        <v>112</v>
      </c>
      <c r="B40" s="57" t="s">
        <v>11</v>
      </c>
      <c r="C40" s="57">
        <v>-1.1000000000000001</v>
      </c>
      <c r="D40" s="57">
        <v>-1.08</v>
      </c>
      <c r="E40" s="57">
        <v>-0.16</v>
      </c>
      <c r="F40" s="57">
        <v>-0.11</v>
      </c>
      <c r="G40" s="57">
        <v>-1</v>
      </c>
      <c r="H40" s="57">
        <v>0.35</v>
      </c>
      <c r="I40" s="57">
        <v>-0.66</v>
      </c>
      <c r="J40" s="57">
        <v>-0.38</v>
      </c>
      <c r="K40" s="57">
        <v>0.02</v>
      </c>
    </row>
    <row r="41" spans="1:11" x14ac:dyDescent="0.25">
      <c r="A41" s="57" t="s">
        <v>113</v>
      </c>
      <c r="B41" s="57" t="s">
        <v>11</v>
      </c>
      <c r="C41" s="57">
        <v>1.57</v>
      </c>
      <c r="D41" s="57">
        <v>-0.38</v>
      </c>
      <c r="E41" s="57">
        <v>-0.16</v>
      </c>
      <c r="F41" s="57">
        <v>0.55000000000000004</v>
      </c>
      <c r="G41" s="57">
        <v>0.34</v>
      </c>
      <c r="H41" s="57">
        <v>-0.35</v>
      </c>
      <c r="I41" s="57">
        <v>1.43</v>
      </c>
      <c r="J41" s="57">
        <v>-0.43</v>
      </c>
      <c r="K41" s="57">
        <v>-0.25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70F-8BAA-4EFB-94F3-E2A620EEF23B}">
  <dimension ref="A1:Y42"/>
  <sheetViews>
    <sheetView workbookViewId="0">
      <selection sqref="A1:F1"/>
    </sheetView>
  </sheetViews>
  <sheetFormatPr defaultRowHeight="15" x14ac:dyDescent="0.25"/>
  <cols>
    <col min="1" max="1" width="8" bestFit="1" customWidth="1"/>
    <col min="2" max="2" width="10.5703125" bestFit="1" customWidth="1"/>
    <col min="3" max="3" width="4.42578125" bestFit="1" customWidth="1"/>
    <col min="4" max="4" width="7.5703125" bestFit="1" customWidth="1"/>
    <col min="5" max="5" width="6.42578125" bestFit="1" customWidth="1"/>
    <col min="6" max="6" width="6" bestFit="1" customWidth="1"/>
    <col min="7" max="7" width="15.42578125" bestFit="1" customWidth="1"/>
    <col min="8" max="8" width="22.7109375" bestFit="1" customWidth="1"/>
    <col min="9" max="9" width="20.7109375" bestFit="1" customWidth="1"/>
    <col min="10" max="10" width="20.5703125" bestFit="1" customWidth="1"/>
    <col min="11" max="11" width="16.85546875" bestFit="1" customWidth="1"/>
    <col min="12" max="12" width="10.85546875" bestFit="1" customWidth="1"/>
    <col min="13" max="13" width="16.140625" bestFit="1" customWidth="1"/>
    <col min="14" max="14" width="9.85546875" bestFit="1" customWidth="1"/>
    <col min="15" max="23" width="15.5703125" bestFit="1" customWidth="1"/>
    <col min="24" max="25" width="26.5703125" customWidth="1"/>
  </cols>
  <sheetData>
    <row r="1" spans="1:25" ht="15.75" thickBot="1" x14ac:dyDescent="0.3">
      <c r="A1" s="76" t="s">
        <v>144</v>
      </c>
      <c r="B1" s="77"/>
      <c r="C1" s="77"/>
      <c r="D1" s="77"/>
      <c r="E1" s="77"/>
      <c r="F1" s="78"/>
      <c r="G1" s="71" t="s">
        <v>141</v>
      </c>
      <c r="H1" s="72"/>
      <c r="I1" s="72"/>
      <c r="J1" s="72"/>
      <c r="K1" s="72"/>
      <c r="L1" s="72"/>
      <c r="M1" s="72"/>
      <c r="N1" s="73"/>
      <c r="O1" s="68" t="s">
        <v>142</v>
      </c>
      <c r="P1" s="69"/>
      <c r="Q1" s="69"/>
      <c r="R1" s="69"/>
      <c r="S1" s="69"/>
      <c r="T1" s="69"/>
      <c r="U1" s="69"/>
      <c r="V1" s="69"/>
      <c r="W1" s="70"/>
      <c r="X1" s="74" t="s">
        <v>143</v>
      </c>
      <c r="Y1" s="75"/>
    </row>
    <row r="2" spans="1:25" s="1" customFormat="1" x14ac:dyDescent="0.25">
      <c r="A2" s="59" t="s">
        <v>73</v>
      </c>
      <c r="B2" s="59" t="s">
        <v>53</v>
      </c>
      <c r="C2" s="59" t="s">
        <v>54</v>
      </c>
      <c r="D2" s="59" t="s">
        <v>162</v>
      </c>
      <c r="E2" s="59" t="s">
        <v>55</v>
      </c>
      <c r="F2" s="59" t="s">
        <v>56</v>
      </c>
      <c r="G2" s="60" t="s">
        <v>57</v>
      </c>
      <c r="H2" s="59" t="s">
        <v>58</v>
      </c>
      <c r="I2" s="60" t="s">
        <v>59</v>
      </c>
      <c r="J2" s="59" t="s">
        <v>60</v>
      </c>
      <c r="K2" s="59" t="s">
        <v>61</v>
      </c>
      <c r="L2" s="60" t="s">
        <v>9</v>
      </c>
      <c r="M2" s="59" t="s">
        <v>62</v>
      </c>
      <c r="N2" s="60" t="s">
        <v>22</v>
      </c>
      <c r="O2" s="61" t="s">
        <v>63</v>
      </c>
      <c r="P2" s="61" t="s">
        <v>64</v>
      </c>
      <c r="Q2" s="61" t="s">
        <v>65</v>
      </c>
      <c r="R2" s="62" t="s">
        <v>66</v>
      </c>
      <c r="S2" s="62" t="s">
        <v>67</v>
      </c>
      <c r="T2" s="62" t="s">
        <v>68</v>
      </c>
      <c r="U2" s="63" t="s">
        <v>69</v>
      </c>
      <c r="V2" s="63" t="s">
        <v>70</v>
      </c>
      <c r="W2" s="63" t="s">
        <v>71</v>
      </c>
      <c r="X2" s="64" t="s">
        <v>155</v>
      </c>
      <c r="Y2" s="64" t="s">
        <v>72</v>
      </c>
    </row>
    <row r="3" spans="1:25" x14ac:dyDescent="0.25">
      <c r="A3" s="57" t="s">
        <v>74</v>
      </c>
      <c r="B3" s="57" t="s">
        <v>12</v>
      </c>
      <c r="C3" s="57">
        <v>69</v>
      </c>
      <c r="D3" s="57" t="s">
        <v>51</v>
      </c>
      <c r="E3" s="57">
        <v>30</v>
      </c>
      <c r="F3" s="57">
        <v>7.5</v>
      </c>
      <c r="G3" s="58">
        <v>-0.13267999999999999</v>
      </c>
      <c r="H3" s="58">
        <v>-0.11267000000000001</v>
      </c>
      <c r="I3" s="58">
        <v>0.49042000000000002</v>
      </c>
      <c r="J3" s="58">
        <v>-0.30703999999999998</v>
      </c>
      <c r="K3" s="58">
        <v>-0.35393999999999998</v>
      </c>
      <c r="L3" s="58">
        <v>1.28</v>
      </c>
      <c r="M3" s="58">
        <v>-0.65302000000000004</v>
      </c>
      <c r="N3" s="58">
        <v>0.12</v>
      </c>
      <c r="O3" s="58">
        <v>0.12</v>
      </c>
      <c r="P3" s="58">
        <v>0.25</v>
      </c>
      <c r="Q3" s="58">
        <v>0.37</v>
      </c>
      <c r="R3" s="58">
        <v>-0.02</v>
      </c>
      <c r="S3" s="58">
        <v>0.16</v>
      </c>
      <c r="T3" s="58">
        <v>0.35</v>
      </c>
      <c r="U3" s="58">
        <v>0.12</v>
      </c>
      <c r="V3" s="58">
        <v>0.22</v>
      </c>
      <c r="W3" s="58">
        <v>0.32</v>
      </c>
      <c r="X3" s="58">
        <v>-1.3809800000000001</v>
      </c>
      <c r="Y3" s="58">
        <v>1.7309999999999999E-2</v>
      </c>
    </row>
    <row r="4" spans="1:25" x14ac:dyDescent="0.25">
      <c r="A4" s="57" t="s">
        <v>75</v>
      </c>
      <c r="B4" s="57" t="s">
        <v>12</v>
      </c>
      <c r="C4" s="57">
        <v>70</v>
      </c>
      <c r="D4" s="57" t="s">
        <v>52</v>
      </c>
      <c r="E4" s="57">
        <v>30</v>
      </c>
      <c r="F4" s="57">
        <v>11.3</v>
      </c>
      <c r="G4" s="58">
        <v>0.24026</v>
      </c>
      <c r="H4" s="58">
        <v>0.30969000000000002</v>
      </c>
      <c r="I4" s="58">
        <v>0.90261000000000002</v>
      </c>
      <c r="J4" s="58">
        <v>-0.66237999999999997</v>
      </c>
      <c r="K4" s="58">
        <v>-1.39069</v>
      </c>
      <c r="L4" s="58">
        <v>1.51</v>
      </c>
      <c r="M4" s="58">
        <v>0.22162000000000001</v>
      </c>
      <c r="N4" s="58">
        <v>0.18</v>
      </c>
      <c r="O4" s="58">
        <v>0.14000000000000001</v>
      </c>
      <c r="P4" s="58">
        <v>0.25</v>
      </c>
      <c r="Q4" s="58">
        <v>0.35</v>
      </c>
      <c r="R4" s="58">
        <v>-0.09</v>
      </c>
      <c r="S4" s="58">
        <v>0.21</v>
      </c>
      <c r="T4" s="58">
        <v>0.5</v>
      </c>
      <c r="U4" s="58">
        <v>0.1</v>
      </c>
      <c r="V4" s="58">
        <v>0.2</v>
      </c>
      <c r="W4" s="58">
        <v>0.3</v>
      </c>
      <c r="X4" s="58">
        <v>-1.35226</v>
      </c>
      <c r="Y4" s="58">
        <v>0.37402999999999997</v>
      </c>
    </row>
    <row r="5" spans="1:25" x14ac:dyDescent="0.25">
      <c r="A5" s="57" t="s">
        <v>76</v>
      </c>
      <c r="B5" s="57" t="s">
        <v>12</v>
      </c>
      <c r="C5" s="57">
        <v>68</v>
      </c>
      <c r="D5" s="57" t="s">
        <v>51</v>
      </c>
      <c r="E5" s="57">
        <v>30</v>
      </c>
      <c r="F5" s="57">
        <v>0</v>
      </c>
      <c r="G5" s="58">
        <v>-0.36669000000000002</v>
      </c>
      <c r="H5" s="58">
        <v>-0.66190000000000004</v>
      </c>
      <c r="I5" s="58">
        <v>-0.65293999999999996</v>
      </c>
      <c r="J5" s="58">
        <v>0.45845000000000002</v>
      </c>
      <c r="K5" s="58">
        <v>-0.69008999999999998</v>
      </c>
      <c r="L5" s="58">
        <v>0.94</v>
      </c>
      <c r="M5" s="58">
        <v>-0.22384999999999999</v>
      </c>
      <c r="N5" s="58">
        <v>0.34</v>
      </c>
      <c r="O5" s="58">
        <v>0.19</v>
      </c>
      <c r="P5" s="58">
        <v>0.28000000000000003</v>
      </c>
      <c r="Q5" s="58">
        <v>0.37</v>
      </c>
      <c r="R5" s="58">
        <v>0.19</v>
      </c>
      <c r="S5" s="58">
        <v>0.27</v>
      </c>
      <c r="T5" s="58">
        <v>0.35</v>
      </c>
      <c r="U5" s="58">
        <v>0.12</v>
      </c>
      <c r="V5" s="58">
        <v>0.22</v>
      </c>
      <c r="W5" s="58">
        <v>0.33</v>
      </c>
      <c r="X5" s="58">
        <v>-0.73055000000000003</v>
      </c>
      <c r="Y5" s="58">
        <v>0.86446000000000001</v>
      </c>
    </row>
    <row r="6" spans="1:25" x14ac:dyDescent="0.25">
      <c r="A6" s="57" t="s">
        <v>77</v>
      </c>
      <c r="B6" s="57" t="s">
        <v>12</v>
      </c>
      <c r="C6" s="57">
        <v>66</v>
      </c>
      <c r="D6" s="57" t="s">
        <v>51</v>
      </c>
      <c r="E6" s="57">
        <v>30</v>
      </c>
      <c r="F6" s="57">
        <v>12.5</v>
      </c>
      <c r="G6" s="58">
        <v>0.53698999999999997</v>
      </c>
      <c r="H6" s="58">
        <v>-0.33478999999999998</v>
      </c>
      <c r="I6" s="58">
        <v>-1.5708299999999999</v>
      </c>
      <c r="J6" s="58">
        <v>3.8899999999999997E-2</v>
      </c>
      <c r="K6" s="58">
        <v>-0.65486999999999995</v>
      </c>
      <c r="L6" s="58">
        <v>-0.2</v>
      </c>
      <c r="M6" s="58">
        <v>0.37624999999999997</v>
      </c>
      <c r="N6" s="58">
        <v>0.3</v>
      </c>
      <c r="O6" s="58">
        <v>0.25</v>
      </c>
      <c r="P6" s="58">
        <v>0.39</v>
      </c>
      <c r="Q6" s="58">
        <v>0.53</v>
      </c>
      <c r="R6" s="58">
        <v>0.16</v>
      </c>
      <c r="S6" s="58">
        <v>0.36</v>
      </c>
      <c r="T6" s="58">
        <v>0.56999999999999995</v>
      </c>
      <c r="U6" s="58">
        <v>0.21</v>
      </c>
      <c r="V6" s="58">
        <v>0.35</v>
      </c>
      <c r="W6" s="58">
        <v>0.48</v>
      </c>
      <c r="X6" s="58">
        <v>1.30423</v>
      </c>
      <c r="Y6" s="58">
        <v>-1.69598</v>
      </c>
    </row>
    <row r="7" spans="1:25" x14ac:dyDescent="0.25">
      <c r="A7" s="57" t="s">
        <v>78</v>
      </c>
      <c r="B7" s="57" t="s">
        <v>12</v>
      </c>
      <c r="C7" s="57">
        <v>67</v>
      </c>
      <c r="D7" s="57" t="s">
        <v>51</v>
      </c>
      <c r="E7" s="57">
        <v>30</v>
      </c>
      <c r="F7" s="57">
        <v>12.5</v>
      </c>
      <c r="G7" s="58">
        <v>0.11568000000000001</v>
      </c>
      <c r="H7" s="58">
        <v>0.24015</v>
      </c>
      <c r="I7" s="58">
        <v>-0.68511</v>
      </c>
      <c r="J7" s="58">
        <v>1.11669</v>
      </c>
      <c r="K7" s="58">
        <v>-0.59189000000000003</v>
      </c>
      <c r="L7" s="58">
        <v>0.49</v>
      </c>
      <c r="M7" s="58">
        <v>2.0165500000000001</v>
      </c>
      <c r="N7" s="58">
        <v>0.2</v>
      </c>
      <c r="O7" s="58">
        <v>0.19</v>
      </c>
      <c r="P7" s="58">
        <v>0.28000000000000003</v>
      </c>
      <c r="Q7" s="58">
        <v>0.38</v>
      </c>
      <c r="R7" s="58">
        <v>0.1</v>
      </c>
      <c r="S7" s="58">
        <v>0.24</v>
      </c>
      <c r="T7" s="58">
        <v>0.39</v>
      </c>
      <c r="U7" s="58">
        <v>0.14000000000000001</v>
      </c>
      <c r="V7" s="58">
        <v>0.23</v>
      </c>
      <c r="W7" s="58">
        <v>0.32</v>
      </c>
      <c r="X7" s="58">
        <v>-0.75963000000000003</v>
      </c>
      <c r="Y7" s="58">
        <v>0.34139000000000003</v>
      </c>
    </row>
    <row r="8" spans="1:25" x14ac:dyDescent="0.25">
      <c r="A8" s="57" t="s">
        <v>79</v>
      </c>
      <c r="B8" s="57" t="s">
        <v>12</v>
      </c>
      <c r="C8" s="57">
        <v>74</v>
      </c>
      <c r="D8" s="57" t="s">
        <v>51</v>
      </c>
      <c r="E8" s="57">
        <v>30</v>
      </c>
      <c r="F8" s="57">
        <v>15</v>
      </c>
      <c r="G8" s="58">
        <v>0.74004999999999999</v>
      </c>
      <c r="H8" s="58">
        <v>-0.16128999999999999</v>
      </c>
      <c r="I8" s="58">
        <v>1.3865799999999999</v>
      </c>
      <c r="J8" s="58">
        <v>-0.28888000000000003</v>
      </c>
      <c r="K8" s="58">
        <v>-1.3976599999999999</v>
      </c>
      <c r="L8" s="58">
        <v>1.17</v>
      </c>
      <c r="M8" s="58">
        <v>1.0317400000000001</v>
      </c>
      <c r="N8" s="58">
        <v>0.38</v>
      </c>
      <c r="O8" s="58">
        <v>0.2</v>
      </c>
      <c r="P8" s="58">
        <v>0.28999999999999998</v>
      </c>
      <c r="Q8" s="58">
        <v>0.39</v>
      </c>
      <c r="R8" s="58">
        <v>0.17</v>
      </c>
      <c r="S8" s="58">
        <v>0.27</v>
      </c>
      <c r="T8" s="58">
        <v>0.37</v>
      </c>
      <c r="U8" s="58">
        <v>0.19</v>
      </c>
      <c r="V8" s="58">
        <v>0.25</v>
      </c>
      <c r="W8" s="58">
        <v>0.32</v>
      </c>
      <c r="X8" s="58">
        <v>-0.41039999999999999</v>
      </c>
      <c r="Y8" s="58">
        <v>-2.8389999999999999E-2</v>
      </c>
    </row>
    <row r="9" spans="1:25" x14ac:dyDescent="0.25">
      <c r="A9" s="57" t="s">
        <v>80</v>
      </c>
      <c r="B9" s="57" t="s">
        <v>12</v>
      </c>
      <c r="C9" s="57">
        <v>71</v>
      </c>
      <c r="D9" s="57" t="s">
        <v>51</v>
      </c>
      <c r="E9" s="57">
        <v>28</v>
      </c>
      <c r="F9" s="57">
        <v>12.5</v>
      </c>
      <c r="G9" s="58">
        <v>0.87368000000000001</v>
      </c>
      <c r="H9" s="58">
        <v>7.0879999999999999E-2</v>
      </c>
      <c r="I9" s="58">
        <v>-8.7609999999999993E-2</v>
      </c>
      <c r="J9" s="58">
        <v>-0.19403000000000001</v>
      </c>
      <c r="K9" s="58">
        <v>-0.33477000000000001</v>
      </c>
      <c r="L9" s="58">
        <v>0.49</v>
      </c>
      <c r="M9" s="58">
        <v>-0.76700000000000002</v>
      </c>
      <c r="N9" s="58">
        <v>0.38</v>
      </c>
      <c r="O9" s="58">
        <v>0.18</v>
      </c>
      <c r="P9" s="58">
        <v>0.33</v>
      </c>
      <c r="Q9" s="58">
        <v>0.48</v>
      </c>
      <c r="R9" s="58">
        <v>0.18</v>
      </c>
      <c r="S9" s="58">
        <v>0.38</v>
      </c>
      <c r="T9" s="58">
        <v>0.57999999999999996</v>
      </c>
      <c r="U9" s="58">
        <v>0.19</v>
      </c>
      <c r="V9" s="58">
        <v>0.3</v>
      </c>
      <c r="W9" s="58">
        <v>0.42</v>
      </c>
      <c r="X9" s="58">
        <v>0.63138000000000005</v>
      </c>
      <c r="Y9" s="58">
        <v>-0.57859000000000005</v>
      </c>
    </row>
    <row r="10" spans="1:25" x14ac:dyDescent="0.25">
      <c r="A10" s="57" t="s">
        <v>81</v>
      </c>
      <c r="B10" s="57" t="s">
        <v>12</v>
      </c>
      <c r="C10" s="57">
        <v>70</v>
      </c>
      <c r="D10" s="57" t="s">
        <v>51</v>
      </c>
      <c r="E10" s="57">
        <v>30</v>
      </c>
      <c r="F10" s="57">
        <v>15</v>
      </c>
      <c r="G10" s="58">
        <v>0.53890000000000005</v>
      </c>
      <c r="H10" s="58">
        <v>-0.11179</v>
      </c>
      <c r="I10" s="58">
        <v>3.0759999999999999E-2</v>
      </c>
      <c r="J10" s="58">
        <v>-0.64983999999999997</v>
      </c>
      <c r="K10" s="58">
        <v>-0.54283999999999999</v>
      </c>
      <c r="L10" s="58">
        <v>0.15</v>
      </c>
      <c r="M10" s="58">
        <v>0.45850000000000002</v>
      </c>
      <c r="N10" s="58">
        <v>0.32</v>
      </c>
      <c r="O10" s="58">
        <v>0.18</v>
      </c>
      <c r="P10" s="58">
        <v>0.28999999999999998</v>
      </c>
      <c r="Q10" s="58">
        <v>0.4</v>
      </c>
      <c r="R10" s="58">
        <v>0.2</v>
      </c>
      <c r="S10" s="58">
        <v>0.28999999999999998</v>
      </c>
      <c r="T10" s="58">
        <v>0.39</v>
      </c>
      <c r="U10" s="58">
        <v>0.15</v>
      </c>
      <c r="V10" s="58">
        <v>0.26</v>
      </c>
      <c r="W10" s="58">
        <v>0.36</v>
      </c>
      <c r="X10" s="58">
        <v>-0.33222000000000002</v>
      </c>
      <c r="Y10" s="58">
        <v>-0.28145999999999999</v>
      </c>
    </row>
    <row r="11" spans="1:25" x14ac:dyDescent="0.25">
      <c r="A11" s="57" t="s">
        <v>82</v>
      </c>
      <c r="B11" s="57" t="s">
        <v>12</v>
      </c>
      <c r="C11" s="57">
        <v>66</v>
      </c>
      <c r="D11" s="57" t="s">
        <v>51</v>
      </c>
      <c r="E11" s="57">
        <v>30</v>
      </c>
      <c r="F11" s="57">
        <v>5</v>
      </c>
      <c r="G11" s="58">
        <v>-0.12964000000000001</v>
      </c>
      <c r="H11" s="58">
        <v>0.69111999999999996</v>
      </c>
      <c r="I11" s="58">
        <v>-0.77405000000000002</v>
      </c>
      <c r="J11" s="58">
        <v>-0.65976999999999997</v>
      </c>
      <c r="K11" s="58">
        <v>-0.68713000000000002</v>
      </c>
      <c r="L11" s="58">
        <v>-2.02</v>
      </c>
      <c r="M11" s="58">
        <v>2.6764700000000001</v>
      </c>
      <c r="N11" s="58">
        <v>0.38</v>
      </c>
      <c r="O11" s="58">
        <v>0.16</v>
      </c>
      <c r="P11" s="58">
        <v>0.31</v>
      </c>
      <c r="Q11" s="58">
        <v>0.46</v>
      </c>
      <c r="R11" s="58">
        <v>0.06</v>
      </c>
      <c r="S11" s="58">
        <v>0.26</v>
      </c>
      <c r="T11" s="58">
        <v>0.46</v>
      </c>
      <c r="U11" s="58">
        <v>0.14000000000000001</v>
      </c>
      <c r="V11" s="58">
        <v>0.26</v>
      </c>
      <c r="W11" s="58">
        <v>0.37</v>
      </c>
      <c r="X11" s="58">
        <v>-0.31151000000000001</v>
      </c>
      <c r="Y11" s="58">
        <v>3.039E-2</v>
      </c>
    </row>
    <row r="12" spans="1:25" x14ac:dyDescent="0.25">
      <c r="A12" s="57" t="s">
        <v>83</v>
      </c>
      <c r="B12" s="57" t="s">
        <v>12</v>
      </c>
      <c r="C12" s="57">
        <v>66</v>
      </c>
      <c r="D12" s="57" t="s">
        <v>51</v>
      </c>
      <c r="E12" s="57">
        <v>27</v>
      </c>
      <c r="F12" s="57">
        <v>12.5</v>
      </c>
      <c r="G12" s="58">
        <v>0.34029999999999999</v>
      </c>
      <c r="H12" s="58">
        <v>1.05037</v>
      </c>
      <c r="I12" s="58">
        <v>-0.77209000000000005</v>
      </c>
      <c r="J12" s="58">
        <v>-0.65031000000000005</v>
      </c>
      <c r="K12" s="58">
        <v>-1.0812200000000001</v>
      </c>
      <c r="L12" s="58">
        <v>0.15</v>
      </c>
      <c r="M12" s="58">
        <v>-0.16989000000000001</v>
      </c>
      <c r="N12" s="58">
        <v>0.24</v>
      </c>
      <c r="O12" s="58">
        <v>0.15</v>
      </c>
      <c r="P12" s="58">
        <v>0.28999999999999998</v>
      </c>
      <c r="Q12" s="58">
        <v>0.42</v>
      </c>
      <c r="R12" s="58">
        <v>0.11</v>
      </c>
      <c r="S12" s="58">
        <v>0.28000000000000003</v>
      </c>
      <c r="T12" s="58">
        <v>0.44</v>
      </c>
      <c r="U12" s="58">
        <v>0.16</v>
      </c>
      <c r="V12" s="58">
        <v>0.27</v>
      </c>
      <c r="W12" s="58">
        <v>0.39</v>
      </c>
      <c r="X12" s="58">
        <v>-0.28397</v>
      </c>
      <c r="Y12" s="58">
        <v>-0.32236999999999999</v>
      </c>
    </row>
    <row r="13" spans="1:25" x14ac:dyDescent="0.25">
      <c r="A13" s="57" t="s">
        <v>84</v>
      </c>
      <c r="B13" s="57" t="s">
        <v>12</v>
      </c>
      <c r="C13" s="57">
        <v>61</v>
      </c>
      <c r="D13" s="57" t="s">
        <v>51</v>
      </c>
      <c r="E13" s="57">
        <v>30</v>
      </c>
      <c r="F13" s="57">
        <v>11.3</v>
      </c>
      <c r="G13" s="58">
        <v>1.242E-2</v>
      </c>
      <c r="H13" s="58">
        <v>-0.55647999999999997</v>
      </c>
      <c r="I13" s="58">
        <v>0.61075999999999997</v>
      </c>
      <c r="J13" s="58">
        <v>1.5324</v>
      </c>
      <c r="K13" s="58">
        <v>-1.4500000000000001E-2</v>
      </c>
      <c r="L13" s="58">
        <v>1.85</v>
      </c>
      <c r="M13" s="58">
        <v>-0.79639000000000004</v>
      </c>
      <c r="N13" s="58">
        <v>0.18</v>
      </c>
      <c r="O13" s="58">
        <v>0.19</v>
      </c>
      <c r="P13" s="58">
        <v>0.28999999999999998</v>
      </c>
      <c r="Q13" s="58">
        <v>0.39</v>
      </c>
      <c r="R13" s="58">
        <v>0.14000000000000001</v>
      </c>
      <c r="S13" s="58">
        <v>0.25</v>
      </c>
      <c r="T13" s="58">
        <v>0.36</v>
      </c>
      <c r="U13" s="58">
        <v>0.15</v>
      </c>
      <c r="V13" s="58">
        <v>0.24</v>
      </c>
      <c r="W13" s="58">
        <v>0.34</v>
      </c>
      <c r="X13" s="58">
        <v>-0.56996999999999998</v>
      </c>
      <c r="Y13" s="58">
        <v>0.2681</v>
      </c>
    </row>
    <row r="14" spans="1:25" x14ac:dyDescent="0.25">
      <c r="A14" s="57" t="s">
        <v>85</v>
      </c>
      <c r="B14" s="57" t="s">
        <v>12</v>
      </c>
      <c r="C14" s="57">
        <v>69</v>
      </c>
      <c r="D14" s="57" t="s">
        <v>51</v>
      </c>
      <c r="E14" s="57">
        <v>29</v>
      </c>
      <c r="F14" s="57">
        <v>10</v>
      </c>
      <c r="G14" s="58">
        <v>-2.4060000000000002E-2</v>
      </c>
      <c r="H14" s="58">
        <v>0.51327</v>
      </c>
      <c r="I14" s="58">
        <v>0.46920000000000001</v>
      </c>
      <c r="J14" s="58">
        <v>-0.53302000000000005</v>
      </c>
      <c r="K14" s="58">
        <v>9.0109999999999996E-2</v>
      </c>
      <c r="L14" s="58">
        <v>0.72</v>
      </c>
      <c r="M14" s="58">
        <v>-0.40421000000000001</v>
      </c>
      <c r="N14" s="58">
        <v>0.36</v>
      </c>
      <c r="O14" s="58">
        <v>0.17</v>
      </c>
      <c r="P14" s="58">
        <v>0.27</v>
      </c>
      <c r="Q14" s="58">
        <v>0.38</v>
      </c>
      <c r="R14" s="58">
        <v>0.1</v>
      </c>
      <c r="S14" s="58">
        <v>0.25</v>
      </c>
      <c r="T14" s="58">
        <v>0.4</v>
      </c>
      <c r="U14" s="58">
        <v>0.13</v>
      </c>
      <c r="V14" s="58">
        <v>0.25</v>
      </c>
      <c r="W14" s="58">
        <v>0.36</v>
      </c>
      <c r="X14" s="58">
        <v>-0.66517999999999999</v>
      </c>
      <c r="Y14" s="58">
        <v>-0.12434000000000001</v>
      </c>
    </row>
    <row r="15" spans="1:25" x14ac:dyDescent="0.25">
      <c r="A15" s="57" t="s">
        <v>86</v>
      </c>
      <c r="B15" s="57" t="s">
        <v>12</v>
      </c>
      <c r="C15" s="57">
        <v>66</v>
      </c>
      <c r="D15" s="57" t="s">
        <v>51</v>
      </c>
      <c r="E15" s="57">
        <v>30</v>
      </c>
      <c r="F15" s="57">
        <v>13.8</v>
      </c>
      <c r="G15" s="58">
        <v>0.74473999999999996</v>
      </c>
      <c r="H15" s="58">
        <v>0.31616</v>
      </c>
      <c r="I15" s="58">
        <v>-0.22620000000000001</v>
      </c>
      <c r="J15" s="58">
        <v>-1.0408500000000001</v>
      </c>
      <c r="K15" s="58">
        <v>3.3270000000000001E-2</v>
      </c>
      <c r="L15" s="58">
        <v>-1.45</v>
      </c>
      <c r="M15" s="58">
        <v>2.7409500000000002</v>
      </c>
      <c r="N15" s="58">
        <v>0.32</v>
      </c>
      <c r="O15" s="58">
        <v>0.3</v>
      </c>
      <c r="P15" s="58">
        <v>0.43</v>
      </c>
      <c r="Q15" s="58">
        <v>0.55000000000000004</v>
      </c>
      <c r="R15" s="58">
        <v>0.33</v>
      </c>
      <c r="S15" s="58">
        <v>0.51</v>
      </c>
      <c r="T15" s="58">
        <v>0.69</v>
      </c>
      <c r="U15" s="58">
        <v>0.25</v>
      </c>
      <c r="V15" s="58">
        <v>0.35</v>
      </c>
      <c r="W15" s="58">
        <v>0.44</v>
      </c>
      <c r="X15" s="58">
        <v>2.16811</v>
      </c>
      <c r="Y15" s="58">
        <v>-2.4322300000000001</v>
      </c>
    </row>
    <row r="16" spans="1:25" x14ac:dyDescent="0.25">
      <c r="A16" s="57" t="s">
        <v>87</v>
      </c>
      <c r="B16" s="57" t="s">
        <v>12</v>
      </c>
      <c r="C16" s="57">
        <v>69</v>
      </c>
      <c r="D16" s="57" t="s">
        <v>52</v>
      </c>
      <c r="E16" s="57">
        <v>30</v>
      </c>
      <c r="F16" s="57">
        <v>11.3</v>
      </c>
      <c r="G16" s="58">
        <v>0.29048000000000002</v>
      </c>
      <c r="H16" s="58">
        <v>0.37946000000000002</v>
      </c>
      <c r="I16" s="58">
        <v>0.59538000000000002</v>
      </c>
      <c r="J16" s="58">
        <v>-0.46366000000000002</v>
      </c>
      <c r="K16" s="58">
        <v>5.5300000000000002E-3</v>
      </c>
      <c r="L16" s="58">
        <v>0.83</v>
      </c>
      <c r="M16" s="58">
        <v>0.11882</v>
      </c>
      <c r="N16" s="58">
        <v>0.06</v>
      </c>
      <c r="O16" s="58">
        <v>0.19</v>
      </c>
      <c r="P16" s="58">
        <v>0.32</v>
      </c>
      <c r="Q16" s="58">
        <v>0.45</v>
      </c>
      <c r="R16" s="58">
        <v>0.16</v>
      </c>
      <c r="S16" s="58">
        <v>0.31</v>
      </c>
      <c r="T16" s="58">
        <v>0.46</v>
      </c>
      <c r="U16" s="58">
        <v>0.19</v>
      </c>
      <c r="V16" s="58">
        <v>0.28000000000000003</v>
      </c>
      <c r="W16" s="58">
        <v>0.37</v>
      </c>
      <c r="X16" s="58">
        <v>0.11795</v>
      </c>
      <c r="Y16" s="58">
        <v>2.5950000000000001E-2</v>
      </c>
    </row>
    <row r="17" spans="1:25" x14ac:dyDescent="0.25">
      <c r="A17" s="57" t="s">
        <v>88</v>
      </c>
      <c r="B17" s="57" t="s">
        <v>12</v>
      </c>
      <c r="C17" s="57">
        <v>60</v>
      </c>
      <c r="D17" s="57" t="s">
        <v>51</v>
      </c>
      <c r="E17" s="57">
        <v>30</v>
      </c>
      <c r="F17" s="57">
        <v>13.8</v>
      </c>
      <c r="G17" s="58">
        <v>0.75531000000000004</v>
      </c>
      <c r="H17" s="58">
        <v>0.41860000000000003</v>
      </c>
      <c r="I17" s="58">
        <v>8.2100000000000003E-3</v>
      </c>
      <c r="J17" s="58">
        <v>-0.67276999999999998</v>
      </c>
      <c r="K17" s="58">
        <v>1.08558</v>
      </c>
      <c r="L17" s="58">
        <v>0.37</v>
      </c>
      <c r="M17" s="58">
        <v>-0.11409</v>
      </c>
      <c r="N17" s="58">
        <v>0.3</v>
      </c>
      <c r="O17" s="58">
        <v>0.19</v>
      </c>
      <c r="P17" s="58">
        <v>0.32</v>
      </c>
      <c r="Q17" s="58">
        <v>0.46</v>
      </c>
      <c r="R17" s="58">
        <v>0.21</v>
      </c>
      <c r="S17" s="58">
        <v>0.31</v>
      </c>
      <c r="T17" s="58">
        <v>0.41</v>
      </c>
      <c r="U17" s="58">
        <v>0.16</v>
      </c>
      <c r="V17" s="58">
        <v>0.26</v>
      </c>
      <c r="W17" s="58">
        <v>0.36</v>
      </c>
      <c r="X17" s="58">
        <v>3.15E-3</v>
      </c>
      <c r="Y17" s="58">
        <v>-0.20449999999999999</v>
      </c>
    </row>
    <row r="18" spans="1:25" x14ac:dyDescent="0.25">
      <c r="A18" s="57" t="s">
        <v>89</v>
      </c>
      <c r="B18" s="57" t="s">
        <v>12</v>
      </c>
      <c r="C18" s="57">
        <v>62</v>
      </c>
      <c r="D18" s="57" t="s">
        <v>51</v>
      </c>
      <c r="E18" s="57">
        <v>29</v>
      </c>
      <c r="F18" s="57">
        <v>13.8</v>
      </c>
      <c r="G18" s="58">
        <v>0.47964000000000001</v>
      </c>
      <c r="H18" s="58">
        <v>-0.56852000000000003</v>
      </c>
      <c r="I18" s="58">
        <v>0.88065000000000004</v>
      </c>
      <c r="J18" s="58">
        <v>-1.0606199999999999</v>
      </c>
      <c r="K18" s="58">
        <v>0.25729000000000002</v>
      </c>
      <c r="L18" s="58">
        <v>0.94</v>
      </c>
      <c r="M18" s="58">
        <v>0.46923999999999999</v>
      </c>
      <c r="N18" s="58">
        <v>0.42</v>
      </c>
      <c r="O18" s="58">
        <v>0.18</v>
      </c>
      <c r="P18" s="58">
        <v>0.32</v>
      </c>
      <c r="Q18" s="58">
        <v>0.47</v>
      </c>
      <c r="R18" s="58">
        <v>0.19</v>
      </c>
      <c r="S18" s="58">
        <v>0.33</v>
      </c>
      <c r="T18" s="58">
        <v>0.47</v>
      </c>
      <c r="U18" s="58">
        <v>0.14000000000000001</v>
      </c>
      <c r="V18" s="58">
        <v>0.26</v>
      </c>
      <c r="W18" s="58">
        <v>0.38</v>
      </c>
      <c r="X18" s="58">
        <v>8.7550000000000003E-2</v>
      </c>
      <c r="Y18" s="58">
        <v>-0.81174999999999997</v>
      </c>
    </row>
    <row r="19" spans="1:25" x14ac:dyDescent="0.25">
      <c r="A19" s="57" t="s">
        <v>90</v>
      </c>
      <c r="B19" s="57" t="s">
        <v>12</v>
      </c>
      <c r="C19" s="57">
        <v>73</v>
      </c>
      <c r="D19" s="57" t="s">
        <v>51</v>
      </c>
      <c r="E19" s="57">
        <v>30</v>
      </c>
      <c r="F19" s="57">
        <v>15</v>
      </c>
      <c r="G19" s="58">
        <v>0.61124999999999996</v>
      </c>
      <c r="H19" s="58">
        <v>-0.47262999999999999</v>
      </c>
      <c r="I19" s="58">
        <v>-0.28715000000000002</v>
      </c>
      <c r="J19" s="58">
        <v>-0.24931</v>
      </c>
      <c r="K19" s="58">
        <v>-0.73823000000000005</v>
      </c>
      <c r="L19" s="58">
        <v>-0.08</v>
      </c>
      <c r="M19" s="58">
        <v>-1.2500000000000001E-2</v>
      </c>
      <c r="N19" s="58">
        <v>0.32</v>
      </c>
      <c r="O19" s="58">
        <v>0.18</v>
      </c>
      <c r="P19" s="58">
        <v>0.3</v>
      </c>
      <c r="Q19" s="58">
        <v>0.42</v>
      </c>
      <c r="R19" s="58">
        <v>0.21</v>
      </c>
      <c r="S19" s="58">
        <v>0.3</v>
      </c>
      <c r="T19" s="58">
        <v>0.4</v>
      </c>
      <c r="U19" s="58">
        <v>0.18</v>
      </c>
      <c r="V19" s="58">
        <v>0.26</v>
      </c>
      <c r="W19" s="58">
        <v>0.34</v>
      </c>
      <c r="X19" s="58">
        <v>-0.15506</v>
      </c>
      <c r="Y19" s="58">
        <v>2.3199999999999998E-2</v>
      </c>
    </row>
    <row r="20" spans="1:25" x14ac:dyDescent="0.25">
      <c r="A20" s="57" t="s">
        <v>91</v>
      </c>
      <c r="B20" s="57" t="s">
        <v>12</v>
      </c>
      <c r="C20" s="57">
        <v>66</v>
      </c>
      <c r="D20" s="57" t="s">
        <v>51</v>
      </c>
      <c r="E20" s="57">
        <v>26</v>
      </c>
      <c r="F20" s="57">
        <v>12.5</v>
      </c>
      <c r="G20" s="58">
        <v>0.27343000000000001</v>
      </c>
      <c r="H20" s="58">
        <v>6.8021700000000003</v>
      </c>
      <c r="I20" s="58">
        <v>-1.8255300000000001</v>
      </c>
      <c r="J20" s="58">
        <v>0.18728</v>
      </c>
      <c r="K20" s="58">
        <v>-1.3140400000000001</v>
      </c>
      <c r="L20" s="58">
        <v>-2.36</v>
      </c>
      <c r="M20" s="58">
        <v>0.27189000000000002</v>
      </c>
      <c r="N20" s="58">
        <v>0.16</v>
      </c>
      <c r="O20" s="58">
        <v>0.22</v>
      </c>
      <c r="P20" s="58">
        <v>0.36</v>
      </c>
      <c r="Q20" s="58">
        <v>0.49</v>
      </c>
      <c r="R20" s="58">
        <v>0.25</v>
      </c>
      <c r="S20" s="58">
        <v>0.41</v>
      </c>
      <c r="T20" s="58">
        <v>0.56999999999999995</v>
      </c>
      <c r="U20" s="58">
        <v>0.23</v>
      </c>
      <c r="V20" s="58">
        <v>0.33</v>
      </c>
      <c r="W20" s="58">
        <v>0.43</v>
      </c>
      <c r="X20" s="58">
        <v>1.12574</v>
      </c>
      <c r="Y20" s="58">
        <v>-0.23838999999999999</v>
      </c>
    </row>
    <row r="21" spans="1:25" x14ac:dyDescent="0.25">
      <c r="A21" s="57" t="s">
        <v>92</v>
      </c>
      <c r="B21" s="57" t="s">
        <v>12</v>
      </c>
      <c r="C21" s="57">
        <v>62</v>
      </c>
      <c r="D21" s="57" t="s">
        <v>52</v>
      </c>
      <c r="E21" s="57">
        <v>30</v>
      </c>
      <c r="F21" s="57">
        <v>7.5</v>
      </c>
      <c r="G21" s="58">
        <v>-5.1380000000000002E-2</v>
      </c>
      <c r="H21" s="58">
        <v>1.1529400000000001</v>
      </c>
      <c r="I21" s="58">
        <v>0.89451999999999998</v>
      </c>
      <c r="J21" s="58">
        <v>0.43783</v>
      </c>
      <c r="K21" s="58">
        <v>0.15479999999999999</v>
      </c>
      <c r="L21" s="58">
        <v>0.72</v>
      </c>
      <c r="M21" s="58">
        <v>-0.13099</v>
      </c>
      <c r="N21" s="58">
        <v>0.3</v>
      </c>
      <c r="O21" s="58">
        <v>0.17</v>
      </c>
      <c r="P21" s="58">
        <v>0.28000000000000003</v>
      </c>
      <c r="Q21" s="58">
        <v>0.38</v>
      </c>
      <c r="R21" s="58">
        <v>0.08</v>
      </c>
      <c r="S21" s="58">
        <v>0.21</v>
      </c>
      <c r="T21" s="58">
        <v>0.34</v>
      </c>
      <c r="U21" s="58">
        <v>0.09</v>
      </c>
      <c r="V21" s="58">
        <v>0.21</v>
      </c>
      <c r="W21" s="58">
        <v>0.33</v>
      </c>
      <c r="X21" s="58">
        <v>-1.0624199999999999</v>
      </c>
      <c r="Y21" s="58">
        <v>1.00457</v>
      </c>
    </row>
    <row r="22" spans="1:25" x14ac:dyDescent="0.25">
      <c r="A22" s="57" t="s">
        <v>93</v>
      </c>
      <c r="B22" s="57" t="s">
        <v>12</v>
      </c>
      <c r="C22" s="57">
        <v>73</v>
      </c>
      <c r="D22" s="57" t="s">
        <v>51</v>
      </c>
      <c r="E22" s="57">
        <v>30</v>
      </c>
      <c r="F22" s="57">
        <v>13.8</v>
      </c>
      <c r="G22" s="58">
        <v>0.45850999999999997</v>
      </c>
      <c r="H22" s="58">
        <v>-0.13277</v>
      </c>
      <c r="I22" s="58">
        <v>0.61009000000000002</v>
      </c>
      <c r="J22" s="58">
        <v>-1.0739399999999999</v>
      </c>
      <c r="K22" s="58">
        <v>-1.36924</v>
      </c>
      <c r="L22" s="58">
        <v>0.72</v>
      </c>
      <c r="M22" s="58">
        <v>0.25531999999999999</v>
      </c>
      <c r="N22" s="58">
        <v>0.4</v>
      </c>
      <c r="O22" s="58">
        <v>0.17</v>
      </c>
      <c r="P22" s="58">
        <v>0.28999999999999998</v>
      </c>
      <c r="Q22" s="58">
        <v>0.41</v>
      </c>
      <c r="R22" s="58">
        <v>0.12</v>
      </c>
      <c r="S22" s="58">
        <v>0.26</v>
      </c>
      <c r="T22" s="58">
        <v>0.39</v>
      </c>
      <c r="U22" s="58">
        <v>0.15</v>
      </c>
      <c r="V22" s="58">
        <v>0.25</v>
      </c>
      <c r="W22" s="58">
        <v>0.34</v>
      </c>
      <c r="X22" s="58">
        <v>-0.51012999999999997</v>
      </c>
      <c r="Y22" s="58">
        <v>8.4839999999999999E-2</v>
      </c>
    </row>
    <row r="23" spans="1:25" x14ac:dyDescent="0.25">
      <c r="A23" s="57" t="s">
        <v>94</v>
      </c>
      <c r="B23" s="57" t="s">
        <v>11</v>
      </c>
      <c r="C23" s="57">
        <v>62</v>
      </c>
      <c r="D23" s="57" t="s">
        <v>52</v>
      </c>
      <c r="E23" s="57">
        <v>30</v>
      </c>
      <c r="F23" s="57">
        <v>22.5</v>
      </c>
      <c r="G23" s="58">
        <v>1.01247</v>
      </c>
      <c r="H23" s="58">
        <v>-0.17682</v>
      </c>
      <c r="I23" s="58">
        <v>1.13428</v>
      </c>
      <c r="J23" s="58">
        <v>-0.94111999999999996</v>
      </c>
      <c r="K23" s="58">
        <v>1.0682499999999999</v>
      </c>
      <c r="L23" s="58">
        <v>1.28</v>
      </c>
      <c r="M23" s="58">
        <v>0.64280999999999999</v>
      </c>
      <c r="N23" s="58">
        <v>0.24</v>
      </c>
      <c r="O23" s="58">
        <v>0.19</v>
      </c>
      <c r="P23" s="58">
        <v>0.28999999999999998</v>
      </c>
      <c r="Q23" s="58">
        <v>0.39</v>
      </c>
      <c r="R23" s="58">
        <v>0.01</v>
      </c>
      <c r="S23" s="58">
        <v>0.21</v>
      </c>
      <c r="T23" s="58">
        <v>0.41</v>
      </c>
      <c r="U23" s="58">
        <v>0.12</v>
      </c>
      <c r="V23" s="58">
        <v>0.23</v>
      </c>
      <c r="W23" s="58">
        <v>0.33</v>
      </c>
      <c r="X23" s="58">
        <v>-0.85192000000000001</v>
      </c>
      <c r="Y23" s="58">
        <v>1.0101100000000001</v>
      </c>
    </row>
    <row r="24" spans="1:25" x14ac:dyDescent="0.25">
      <c r="A24" s="57" t="s">
        <v>95</v>
      </c>
      <c r="B24" s="57" t="s">
        <v>11</v>
      </c>
      <c r="C24" s="57">
        <v>79</v>
      </c>
      <c r="D24" s="57" t="s">
        <v>51</v>
      </c>
      <c r="E24" s="57">
        <v>30</v>
      </c>
      <c r="F24" s="57">
        <v>41.25</v>
      </c>
      <c r="G24" s="58">
        <v>2.5249199999999998</v>
      </c>
      <c r="H24" s="58">
        <v>1.02525</v>
      </c>
      <c r="I24" s="58">
        <v>0.25102999999999998</v>
      </c>
      <c r="J24" s="58">
        <v>-1.2707599999999999</v>
      </c>
      <c r="K24" s="58">
        <v>-0.13420000000000001</v>
      </c>
      <c r="L24" s="58">
        <v>0.94</v>
      </c>
      <c r="M24" s="58">
        <v>-0.59899999999999998</v>
      </c>
      <c r="N24" s="58">
        <v>0.12</v>
      </c>
      <c r="O24" s="58">
        <v>0.26</v>
      </c>
      <c r="P24" s="58">
        <v>0.37</v>
      </c>
      <c r="Q24" s="58">
        <v>0.48</v>
      </c>
      <c r="R24" s="58">
        <v>0.31</v>
      </c>
      <c r="S24" s="58">
        <v>0.45</v>
      </c>
      <c r="T24" s="58">
        <v>0.59</v>
      </c>
      <c r="U24" s="58">
        <v>0.24</v>
      </c>
      <c r="V24" s="58">
        <v>0.34</v>
      </c>
      <c r="W24" s="58">
        <v>0.44</v>
      </c>
      <c r="X24" s="58">
        <v>1.4711000000000001</v>
      </c>
      <c r="Y24" s="58">
        <v>-2.2327499999999998</v>
      </c>
    </row>
    <row r="25" spans="1:25" x14ac:dyDescent="0.25">
      <c r="A25" s="57" t="s">
        <v>96</v>
      </c>
      <c r="B25" s="57" t="s">
        <v>11</v>
      </c>
      <c r="C25" s="57">
        <v>67</v>
      </c>
      <c r="D25" s="57" t="s">
        <v>51</v>
      </c>
      <c r="E25" s="57">
        <v>30</v>
      </c>
      <c r="F25" s="57">
        <v>36.25</v>
      </c>
      <c r="G25" s="58">
        <v>2.1251600000000002</v>
      </c>
      <c r="H25" s="58">
        <v>-0.43107000000000001</v>
      </c>
      <c r="I25" s="58">
        <v>7.0779999999999996E-2</v>
      </c>
      <c r="J25" s="58">
        <v>-1.4105799999999999</v>
      </c>
      <c r="K25" s="58">
        <v>-1.63218</v>
      </c>
      <c r="L25" s="58">
        <v>1.28</v>
      </c>
      <c r="M25" s="58">
        <v>0.87285999999999997</v>
      </c>
      <c r="N25" s="58">
        <v>0.16</v>
      </c>
      <c r="O25" s="58">
        <v>0.26</v>
      </c>
      <c r="P25" s="58">
        <v>0.36</v>
      </c>
      <c r="Q25" s="58">
        <v>0.46</v>
      </c>
      <c r="R25" s="58">
        <v>0.27</v>
      </c>
      <c r="S25" s="58">
        <v>0.44</v>
      </c>
      <c r="T25" s="58">
        <v>0.61</v>
      </c>
      <c r="U25" s="58">
        <v>0.22</v>
      </c>
      <c r="V25" s="58">
        <v>0.33</v>
      </c>
      <c r="W25" s="58">
        <v>0.45</v>
      </c>
      <c r="X25" s="58">
        <v>1.2996000000000001</v>
      </c>
      <c r="Y25" s="58">
        <v>-0.78835999999999995</v>
      </c>
    </row>
    <row r="26" spans="1:25" x14ac:dyDescent="0.25">
      <c r="A26" s="57" t="s">
        <v>97</v>
      </c>
      <c r="B26" s="57" t="s">
        <v>11</v>
      </c>
      <c r="C26" s="57">
        <v>69</v>
      </c>
      <c r="D26" s="57" t="s">
        <v>51</v>
      </c>
      <c r="E26" s="57">
        <v>29</v>
      </c>
      <c r="F26" s="57">
        <v>22.5</v>
      </c>
      <c r="G26" s="58">
        <v>1.13089</v>
      </c>
      <c r="H26" s="58">
        <v>0.84289999999999998</v>
      </c>
      <c r="I26" s="58">
        <v>1.753E-2</v>
      </c>
      <c r="J26" s="58">
        <v>-0.40222000000000002</v>
      </c>
      <c r="K26" s="58">
        <v>-0.43756</v>
      </c>
      <c r="L26" s="58">
        <v>1.06</v>
      </c>
      <c r="M26" s="58">
        <v>0.21773999999999999</v>
      </c>
      <c r="N26" s="58">
        <v>0.34</v>
      </c>
      <c r="O26" s="58">
        <v>0.19</v>
      </c>
      <c r="P26" s="58">
        <v>0.28999999999999998</v>
      </c>
      <c r="Q26" s="58">
        <v>0.4</v>
      </c>
      <c r="R26" s="58">
        <v>0.1</v>
      </c>
      <c r="S26" s="58">
        <v>0.26</v>
      </c>
      <c r="T26" s="58">
        <v>0.42</v>
      </c>
      <c r="U26" s="58">
        <v>0.1</v>
      </c>
      <c r="V26" s="58">
        <v>0.23</v>
      </c>
      <c r="W26" s="58">
        <v>0.35</v>
      </c>
      <c r="X26" s="58">
        <v>-0.63732999999999995</v>
      </c>
      <c r="Y26" s="58">
        <v>0.35918</v>
      </c>
    </row>
    <row r="27" spans="1:25" x14ac:dyDescent="0.25">
      <c r="A27" s="57" t="s">
        <v>98</v>
      </c>
      <c r="B27" s="57" t="s">
        <v>11</v>
      </c>
      <c r="C27" s="57">
        <v>71</v>
      </c>
      <c r="D27" s="57" t="s">
        <v>52</v>
      </c>
      <c r="E27" s="57">
        <v>30</v>
      </c>
      <c r="F27" s="57">
        <v>43.75</v>
      </c>
      <c r="G27" s="58">
        <v>2.3990200000000002</v>
      </c>
      <c r="H27" s="58">
        <v>-0.90964</v>
      </c>
      <c r="I27" s="58">
        <v>0.42618</v>
      </c>
      <c r="J27" s="58">
        <v>-0.40299000000000001</v>
      </c>
      <c r="K27" s="58">
        <v>0.51515</v>
      </c>
      <c r="L27" s="58">
        <v>0.72</v>
      </c>
      <c r="M27" s="58">
        <v>-0.93683000000000005</v>
      </c>
      <c r="N27" s="58">
        <v>0.18</v>
      </c>
      <c r="O27" s="58">
        <v>0.28999999999999998</v>
      </c>
      <c r="P27" s="58">
        <v>0.39</v>
      </c>
      <c r="Q27" s="58">
        <v>0.48</v>
      </c>
      <c r="R27" s="58">
        <v>0.31</v>
      </c>
      <c r="S27" s="58">
        <v>0.46</v>
      </c>
      <c r="T27" s="58">
        <v>0.6</v>
      </c>
      <c r="U27" s="58">
        <v>0.25</v>
      </c>
      <c r="V27" s="58">
        <v>0.35</v>
      </c>
      <c r="W27" s="58">
        <v>0.45</v>
      </c>
      <c r="X27" s="58">
        <v>1.6690400000000001</v>
      </c>
      <c r="Y27" s="58">
        <v>-1.03688</v>
      </c>
    </row>
    <row r="28" spans="1:25" x14ac:dyDescent="0.25">
      <c r="A28" s="57" t="s">
        <v>99</v>
      </c>
      <c r="B28" s="57" t="s">
        <v>11</v>
      </c>
      <c r="C28" s="57">
        <v>69</v>
      </c>
      <c r="D28" s="57" t="s">
        <v>51</v>
      </c>
      <c r="E28" s="57">
        <v>30</v>
      </c>
      <c r="F28" s="57">
        <v>41.25</v>
      </c>
      <c r="G28" s="58">
        <v>2.43513</v>
      </c>
      <c r="H28" s="58">
        <v>-0.72892000000000001</v>
      </c>
      <c r="I28" s="58">
        <v>-0.55930000000000002</v>
      </c>
      <c r="J28" s="58">
        <v>0.15278</v>
      </c>
      <c r="K28" s="58">
        <v>-1.5218100000000001</v>
      </c>
      <c r="L28" s="58">
        <v>0.72</v>
      </c>
      <c r="M28" s="58">
        <v>-0.64446999999999999</v>
      </c>
      <c r="N28" s="58">
        <v>0.04</v>
      </c>
      <c r="O28" s="58">
        <v>0.3</v>
      </c>
      <c r="P28" s="58">
        <v>0.41</v>
      </c>
      <c r="Q28" s="58">
        <v>0.51</v>
      </c>
      <c r="R28" s="58">
        <v>0.35</v>
      </c>
      <c r="S28" s="58">
        <v>0.51</v>
      </c>
      <c r="T28" s="58">
        <v>0.67</v>
      </c>
      <c r="U28" s="58">
        <v>0.25</v>
      </c>
      <c r="V28" s="58">
        <v>0.34</v>
      </c>
      <c r="W28" s="58">
        <v>0.43</v>
      </c>
      <c r="X28" s="58">
        <v>1.96191</v>
      </c>
      <c r="Y28" s="58">
        <v>-1.59683</v>
      </c>
    </row>
    <row r="29" spans="1:25" x14ac:dyDescent="0.25">
      <c r="A29" s="57" t="s">
        <v>100</v>
      </c>
      <c r="B29" s="57" t="s">
        <v>11</v>
      </c>
      <c r="C29" s="57">
        <v>81</v>
      </c>
      <c r="D29" s="57" t="s">
        <v>51</v>
      </c>
      <c r="E29" s="57">
        <v>30</v>
      </c>
      <c r="F29" s="57">
        <v>31.25</v>
      </c>
      <c r="G29" s="58">
        <v>2.0422600000000002</v>
      </c>
      <c r="H29" s="58">
        <v>-0.15429999999999999</v>
      </c>
      <c r="I29" s="58">
        <v>-1.6631400000000001</v>
      </c>
      <c r="J29" s="58">
        <v>0.67530999999999997</v>
      </c>
      <c r="K29" s="58">
        <v>-2.0739800000000002</v>
      </c>
      <c r="L29" s="58">
        <v>-1.22</v>
      </c>
      <c r="M29" s="58">
        <v>0.46697</v>
      </c>
      <c r="N29" s="58">
        <v>0</v>
      </c>
      <c r="O29" s="58">
        <v>0.28999999999999998</v>
      </c>
      <c r="P29" s="58">
        <v>0.4</v>
      </c>
      <c r="Q29" s="58">
        <v>0.52</v>
      </c>
      <c r="R29" s="58">
        <v>0.26</v>
      </c>
      <c r="S29" s="58">
        <v>0.46</v>
      </c>
      <c r="T29" s="58">
        <v>0.66</v>
      </c>
      <c r="U29" s="58">
        <v>0.21</v>
      </c>
      <c r="V29" s="58">
        <v>0.37</v>
      </c>
      <c r="W29" s="58">
        <v>0.54</v>
      </c>
      <c r="X29" s="58">
        <v>1.9623299999999999</v>
      </c>
      <c r="Y29" s="58">
        <v>-1.1218999999999999</v>
      </c>
    </row>
    <row r="30" spans="1:25" x14ac:dyDescent="0.25">
      <c r="A30" s="57" t="s">
        <v>101</v>
      </c>
      <c r="B30" s="57" t="s">
        <v>11</v>
      </c>
      <c r="C30" s="57">
        <v>84</v>
      </c>
      <c r="D30" s="57" t="s">
        <v>51</v>
      </c>
      <c r="E30" s="57">
        <v>29</v>
      </c>
      <c r="F30" s="57">
        <v>38.75</v>
      </c>
      <c r="G30" s="58">
        <v>2.3744800000000001</v>
      </c>
      <c r="H30" s="58">
        <v>1.5281</v>
      </c>
      <c r="I30" s="58">
        <v>-1.5037</v>
      </c>
      <c r="J30" s="58">
        <v>-0.63807999999999998</v>
      </c>
      <c r="K30" s="58">
        <v>-0.21684999999999999</v>
      </c>
      <c r="L30" s="58">
        <v>1.06</v>
      </c>
      <c r="M30" s="58">
        <v>-0.24937000000000001</v>
      </c>
      <c r="N30" s="58">
        <v>0.12</v>
      </c>
      <c r="O30" s="58">
        <v>0.3</v>
      </c>
      <c r="P30" s="58">
        <v>0.4</v>
      </c>
      <c r="Q30" s="58">
        <v>0.49</v>
      </c>
      <c r="R30" s="58">
        <v>0.28999999999999998</v>
      </c>
      <c r="S30" s="58">
        <v>0.44</v>
      </c>
      <c r="T30" s="58">
        <v>0.59</v>
      </c>
      <c r="U30" s="58">
        <v>0.19</v>
      </c>
      <c r="V30" s="58">
        <v>0.33</v>
      </c>
      <c r="W30" s="58">
        <v>0.47</v>
      </c>
      <c r="X30" s="58">
        <v>1.54579</v>
      </c>
      <c r="Y30" s="58">
        <v>-2.2945199999999999</v>
      </c>
    </row>
    <row r="31" spans="1:25" x14ac:dyDescent="0.25">
      <c r="A31" s="57" t="s">
        <v>102</v>
      </c>
      <c r="B31" s="57" t="s">
        <v>11</v>
      </c>
      <c r="C31" s="57">
        <v>75</v>
      </c>
      <c r="D31" s="57" t="s">
        <v>51</v>
      </c>
      <c r="E31" s="57">
        <v>29</v>
      </c>
      <c r="F31" s="57">
        <v>22.5</v>
      </c>
      <c r="G31" s="58">
        <v>1.0573999999999999</v>
      </c>
      <c r="H31" s="58">
        <v>-0.21007999999999999</v>
      </c>
      <c r="I31" s="58">
        <v>0.8861</v>
      </c>
      <c r="J31" s="58">
        <v>-0.53081999999999996</v>
      </c>
      <c r="K31" s="58">
        <v>0.78483000000000003</v>
      </c>
      <c r="L31" s="58">
        <v>1.51</v>
      </c>
      <c r="M31" s="58">
        <v>-0.86480999999999997</v>
      </c>
      <c r="N31" s="58">
        <v>0.22</v>
      </c>
      <c r="O31" s="58">
        <v>0.15</v>
      </c>
      <c r="P31" s="58">
        <v>0.26</v>
      </c>
      <c r="Q31" s="58">
        <v>0.36</v>
      </c>
      <c r="R31" s="58">
        <v>7.0000000000000007E-2</v>
      </c>
      <c r="S31" s="58">
        <v>0.22</v>
      </c>
      <c r="T31" s="58">
        <v>0.37</v>
      </c>
      <c r="U31" s="58">
        <v>0.13</v>
      </c>
      <c r="V31" s="58">
        <v>0.23</v>
      </c>
      <c r="W31" s="58">
        <v>0.32</v>
      </c>
      <c r="X31" s="58">
        <v>-1.05714</v>
      </c>
      <c r="Y31" s="58">
        <v>0.69010000000000005</v>
      </c>
    </row>
    <row r="32" spans="1:25" x14ac:dyDescent="0.25">
      <c r="A32" s="57" t="s">
        <v>103</v>
      </c>
      <c r="B32" s="57" t="s">
        <v>11</v>
      </c>
      <c r="C32" s="57">
        <v>63</v>
      </c>
      <c r="D32" s="57" t="s">
        <v>52</v>
      </c>
      <c r="E32" s="57">
        <v>30</v>
      </c>
      <c r="F32" s="57">
        <v>28.75</v>
      </c>
      <c r="G32" s="58">
        <v>1.7052</v>
      </c>
      <c r="H32" s="58">
        <v>0.66276999999999997</v>
      </c>
      <c r="I32" s="58">
        <v>-0.24412</v>
      </c>
      <c r="J32" s="58">
        <v>-0.85724999999999996</v>
      </c>
      <c r="K32" s="58">
        <v>-0.58277999999999996</v>
      </c>
      <c r="L32" s="58">
        <v>1.17</v>
      </c>
      <c r="M32" s="58">
        <v>7.2770000000000001E-2</v>
      </c>
      <c r="N32" s="58">
        <v>0.18</v>
      </c>
      <c r="O32" s="58">
        <v>0.23</v>
      </c>
      <c r="P32" s="58">
        <v>0.33</v>
      </c>
      <c r="Q32" s="58">
        <v>0.44</v>
      </c>
      <c r="R32" s="58">
        <v>0.32</v>
      </c>
      <c r="S32" s="58">
        <v>0.45</v>
      </c>
      <c r="T32" s="58">
        <v>0.57999999999999996</v>
      </c>
      <c r="U32" s="58">
        <v>0.23</v>
      </c>
      <c r="V32" s="58">
        <v>0.35</v>
      </c>
      <c r="W32" s="58">
        <v>0.47</v>
      </c>
      <c r="X32" s="58">
        <v>1.3076300000000001</v>
      </c>
      <c r="Y32" s="58">
        <v>-1.2173799999999999</v>
      </c>
    </row>
    <row r="33" spans="1:25" x14ac:dyDescent="0.25">
      <c r="A33" s="57" t="s">
        <v>104</v>
      </c>
      <c r="B33" s="57" t="s">
        <v>11</v>
      </c>
      <c r="C33" s="57">
        <v>63</v>
      </c>
      <c r="D33" s="57" t="s">
        <v>51</v>
      </c>
      <c r="E33" s="57">
        <v>28</v>
      </c>
      <c r="F33" s="57">
        <v>23.75</v>
      </c>
      <c r="G33" s="58">
        <v>1.0901099999999999</v>
      </c>
      <c r="H33" s="58">
        <v>-0.22916</v>
      </c>
      <c r="I33" s="58">
        <v>7.22E-2</v>
      </c>
      <c r="J33" s="58">
        <v>0.41860999999999998</v>
      </c>
      <c r="K33" s="58">
        <v>-0.38316</v>
      </c>
      <c r="L33" s="58">
        <v>1.4</v>
      </c>
      <c r="M33" s="58">
        <v>0.10315000000000001</v>
      </c>
      <c r="N33" s="58">
        <v>0.3</v>
      </c>
      <c r="O33" s="58">
        <v>0.2</v>
      </c>
      <c r="P33" s="58">
        <v>0.3</v>
      </c>
      <c r="Q33" s="58">
        <v>0.4</v>
      </c>
      <c r="R33" s="58">
        <v>0.17</v>
      </c>
      <c r="S33" s="58">
        <v>0.27</v>
      </c>
      <c r="T33" s="58">
        <v>0.37</v>
      </c>
      <c r="U33" s="58">
        <v>0.11</v>
      </c>
      <c r="V33" s="58">
        <v>0.22</v>
      </c>
      <c r="W33" s="58">
        <v>0.34</v>
      </c>
      <c r="X33" s="58">
        <v>-0.56943999999999995</v>
      </c>
      <c r="Y33" s="58">
        <v>0.94815000000000005</v>
      </c>
    </row>
    <row r="34" spans="1:25" x14ac:dyDescent="0.25">
      <c r="A34" s="57" t="s">
        <v>105</v>
      </c>
      <c r="B34" s="57" t="s">
        <v>11</v>
      </c>
      <c r="C34" s="57">
        <v>83</v>
      </c>
      <c r="D34" s="57" t="s">
        <v>51</v>
      </c>
      <c r="E34" s="57">
        <v>29</v>
      </c>
      <c r="F34" s="57">
        <v>46.25</v>
      </c>
      <c r="G34" s="58">
        <v>2.7382900000000001</v>
      </c>
      <c r="H34" s="58">
        <v>-0.62580000000000002</v>
      </c>
      <c r="I34" s="58">
        <v>-2.2330000000000001</v>
      </c>
      <c r="J34" s="58">
        <v>7.6289999999999997E-2</v>
      </c>
      <c r="K34" s="58">
        <v>0.22423999999999999</v>
      </c>
      <c r="L34" s="58">
        <v>-0.2</v>
      </c>
      <c r="M34" s="58">
        <v>1.3042800000000001</v>
      </c>
      <c r="N34" s="58">
        <v>0</v>
      </c>
      <c r="O34" s="58">
        <v>0.38</v>
      </c>
      <c r="P34" s="58">
        <v>0.47</v>
      </c>
      <c r="Q34" s="58">
        <v>0.56000000000000005</v>
      </c>
      <c r="R34" s="58">
        <v>0.47</v>
      </c>
      <c r="S34" s="58">
        <v>0.59</v>
      </c>
      <c r="T34" s="58">
        <v>0.71</v>
      </c>
      <c r="U34" s="58">
        <v>0.33</v>
      </c>
      <c r="V34" s="58">
        <v>0.43</v>
      </c>
      <c r="W34" s="58">
        <v>0.54</v>
      </c>
      <c r="X34" s="58">
        <v>3.3959999999999999</v>
      </c>
      <c r="Y34" s="58">
        <v>-3.84341</v>
      </c>
    </row>
    <row r="35" spans="1:25" x14ac:dyDescent="0.25">
      <c r="A35" s="57" t="s">
        <v>106</v>
      </c>
      <c r="B35" s="57" t="s">
        <v>11</v>
      </c>
      <c r="C35" s="57">
        <v>69</v>
      </c>
      <c r="D35" s="57" t="s">
        <v>51</v>
      </c>
      <c r="E35" s="57">
        <v>26</v>
      </c>
      <c r="F35" s="57">
        <v>23.75</v>
      </c>
      <c r="G35" s="58">
        <v>1.1645300000000001</v>
      </c>
      <c r="H35" s="58">
        <v>0.10085</v>
      </c>
      <c r="I35" s="58">
        <v>-0.16364000000000001</v>
      </c>
      <c r="J35" s="58">
        <v>-1.2718700000000001</v>
      </c>
      <c r="K35" s="58">
        <v>0.43580999999999998</v>
      </c>
      <c r="L35" s="58">
        <v>0.49</v>
      </c>
      <c r="M35" s="58">
        <v>2.00583</v>
      </c>
      <c r="N35" s="58">
        <v>0.36</v>
      </c>
      <c r="O35" s="58">
        <v>0.24</v>
      </c>
      <c r="P35" s="58">
        <v>0.33</v>
      </c>
      <c r="Q35" s="58">
        <v>0.42</v>
      </c>
      <c r="R35" s="58">
        <v>0.17</v>
      </c>
      <c r="S35" s="58">
        <v>0.28999999999999998</v>
      </c>
      <c r="T35" s="58">
        <v>0.4</v>
      </c>
      <c r="U35" s="58">
        <v>0.19</v>
      </c>
      <c r="V35" s="58">
        <v>0.28999999999999998</v>
      </c>
      <c r="W35" s="58">
        <v>0.39</v>
      </c>
      <c r="X35" s="58">
        <v>0.18412999999999999</v>
      </c>
      <c r="Y35" s="58">
        <v>-0.62168999999999996</v>
      </c>
    </row>
    <row r="36" spans="1:25" x14ac:dyDescent="0.25">
      <c r="A36" s="57" t="s">
        <v>107</v>
      </c>
      <c r="B36" s="57" t="s">
        <v>11</v>
      </c>
      <c r="C36" s="57">
        <v>77</v>
      </c>
      <c r="D36" s="57" t="s">
        <v>52</v>
      </c>
      <c r="E36" s="57">
        <v>30</v>
      </c>
      <c r="F36" s="57">
        <v>30</v>
      </c>
      <c r="G36" s="58">
        <v>1.7602899999999999</v>
      </c>
      <c r="H36" s="58">
        <v>-0.89898999999999996</v>
      </c>
      <c r="I36" s="58">
        <v>-0.73187999999999998</v>
      </c>
      <c r="J36" s="58">
        <v>7.6789999999999997E-2</v>
      </c>
      <c r="K36" s="58">
        <v>-0.73646999999999996</v>
      </c>
      <c r="L36" s="58">
        <v>0.72</v>
      </c>
      <c r="M36" s="58">
        <v>2.4376500000000001</v>
      </c>
      <c r="N36" s="58">
        <v>0.32</v>
      </c>
      <c r="O36" s="58">
        <v>0.21</v>
      </c>
      <c r="P36" s="58">
        <v>0.34</v>
      </c>
      <c r="Q36" s="58">
        <v>0.47</v>
      </c>
      <c r="R36" s="58">
        <v>0.16</v>
      </c>
      <c r="S36" s="58">
        <v>0.36</v>
      </c>
      <c r="T36" s="58">
        <v>0.56000000000000005</v>
      </c>
      <c r="U36" s="58">
        <v>0.16</v>
      </c>
      <c r="V36" s="58">
        <v>0.28999999999999998</v>
      </c>
      <c r="W36" s="58">
        <v>0.42</v>
      </c>
      <c r="X36" s="58">
        <v>0.55184</v>
      </c>
      <c r="Y36" s="58">
        <v>-6.1699999999999998E-2</v>
      </c>
    </row>
    <row r="37" spans="1:25" x14ac:dyDescent="0.25">
      <c r="A37" s="57" t="s">
        <v>108</v>
      </c>
      <c r="B37" s="57" t="s">
        <v>11</v>
      </c>
      <c r="C37" s="57">
        <v>62</v>
      </c>
      <c r="D37" s="57" t="s">
        <v>52</v>
      </c>
      <c r="E37" s="57">
        <v>30</v>
      </c>
      <c r="F37" s="57">
        <v>28.75</v>
      </c>
      <c r="G37" s="58">
        <v>1.0215700000000001</v>
      </c>
      <c r="H37" s="58">
        <v>-0.34036</v>
      </c>
      <c r="I37" s="58">
        <v>0.77619000000000005</v>
      </c>
      <c r="J37" s="58">
        <v>-0.34298000000000001</v>
      </c>
      <c r="K37" s="58">
        <v>-0.81018999999999997</v>
      </c>
      <c r="L37" s="58">
        <v>0.83</v>
      </c>
      <c r="M37" s="58">
        <v>1.8958299999999999</v>
      </c>
      <c r="N37" s="58">
        <v>-0.04</v>
      </c>
      <c r="O37" s="58">
        <v>0.25</v>
      </c>
      <c r="P37" s="58">
        <v>0.36</v>
      </c>
      <c r="Q37" s="58">
        <v>0.47</v>
      </c>
      <c r="R37" s="58">
        <v>0.25</v>
      </c>
      <c r="S37" s="58">
        <v>0.37</v>
      </c>
      <c r="T37" s="58">
        <v>0.49</v>
      </c>
      <c r="U37" s="58">
        <v>0.18</v>
      </c>
      <c r="V37" s="58">
        <v>0.28000000000000003</v>
      </c>
      <c r="W37" s="58">
        <v>0.38</v>
      </c>
      <c r="X37" s="58">
        <v>0.64693000000000001</v>
      </c>
      <c r="Y37" s="58">
        <v>-2.1288200000000002</v>
      </c>
    </row>
    <row r="38" spans="1:25" x14ac:dyDescent="0.25">
      <c r="A38" s="57" t="s">
        <v>109</v>
      </c>
      <c r="B38" s="57" t="s">
        <v>11</v>
      </c>
      <c r="C38" s="57">
        <v>80</v>
      </c>
      <c r="D38" s="57" t="s">
        <v>51</v>
      </c>
      <c r="E38" s="57">
        <v>30</v>
      </c>
      <c r="F38" s="57">
        <v>25</v>
      </c>
      <c r="G38" s="58">
        <v>1.49099</v>
      </c>
      <c r="H38" s="58">
        <v>-0.79200999999999999</v>
      </c>
      <c r="I38" s="58">
        <v>-1.04914</v>
      </c>
      <c r="J38" s="58">
        <v>1.3063</v>
      </c>
      <c r="K38" s="58">
        <v>-1.0620099999999999</v>
      </c>
      <c r="L38" s="58">
        <v>0.83</v>
      </c>
      <c r="M38" s="58">
        <v>-0.51466999999999996</v>
      </c>
      <c r="N38" s="58">
        <v>0.02</v>
      </c>
      <c r="O38" s="58">
        <v>0.32</v>
      </c>
      <c r="P38" s="58">
        <v>0.4</v>
      </c>
      <c r="Q38" s="58">
        <v>0.49</v>
      </c>
      <c r="R38" s="58">
        <v>0.38</v>
      </c>
      <c r="S38" s="58">
        <v>0.47</v>
      </c>
      <c r="T38" s="58">
        <v>0.56000000000000005</v>
      </c>
      <c r="U38" s="58">
        <v>0.28000000000000003</v>
      </c>
      <c r="V38" s="58">
        <v>0.34</v>
      </c>
      <c r="W38" s="58">
        <v>0.41</v>
      </c>
      <c r="X38" s="58">
        <v>1.8133999999999999</v>
      </c>
      <c r="Y38" s="58">
        <v>-2.3366099999999999</v>
      </c>
    </row>
    <row r="39" spans="1:25" x14ac:dyDescent="0.25">
      <c r="A39" s="57" t="s">
        <v>110</v>
      </c>
      <c r="B39" s="57" t="s">
        <v>11</v>
      </c>
      <c r="C39" s="57">
        <v>64</v>
      </c>
      <c r="D39" s="57" t="s">
        <v>51</v>
      </c>
      <c r="E39" s="57">
        <v>30</v>
      </c>
      <c r="F39" s="57">
        <v>21.25</v>
      </c>
      <c r="G39" s="58">
        <v>0.99463000000000001</v>
      </c>
      <c r="H39" s="58">
        <v>2.2447599999999999</v>
      </c>
      <c r="I39" s="58">
        <v>1.0901799999999999</v>
      </c>
      <c r="J39" s="58">
        <v>0.25214999999999999</v>
      </c>
      <c r="K39" s="58">
        <v>0.55137000000000003</v>
      </c>
      <c r="L39" s="58">
        <v>0.49</v>
      </c>
      <c r="M39" s="58">
        <v>-0.14063000000000001</v>
      </c>
      <c r="N39" s="58">
        <v>0.18</v>
      </c>
      <c r="O39" s="58">
        <v>0.25</v>
      </c>
      <c r="P39" s="58">
        <v>0.34</v>
      </c>
      <c r="Q39" s="58">
        <v>0.43</v>
      </c>
      <c r="R39" s="58">
        <v>0.12</v>
      </c>
      <c r="S39" s="58">
        <v>0.3</v>
      </c>
      <c r="T39" s="58">
        <v>0.47</v>
      </c>
      <c r="U39" s="58">
        <v>0.16</v>
      </c>
      <c r="V39" s="58">
        <v>0.26</v>
      </c>
      <c r="W39" s="58">
        <v>0.36</v>
      </c>
      <c r="X39" s="58">
        <v>8.7090000000000001E-2</v>
      </c>
      <c r="Y39" s="58">
        <v>3.78E-2</v>
      </c>
    </row>
    <row r="40" spans="1:25" x14ac:dyDescent="0.25">
      <c r="A40" s="57" t="s">
        <v>111</v>
      </c>
      <c r="B40" s="57" t="s">
        <v>11</v>
      </c>
      <c r="C40" s="57">
        <v>85</v>
      </c>
      <c r="D40" s="57" t="s">
        <v>52</v>
      </c>
      <c r="E40" s="57">
        <v>30</v>
      </c>
      <c r="F40" s="57">
        <v>26.25</v>
      </c>
      <c r="G40" s="58">
        <v>1.5792900000000001</v>
      </c>
      <c r="H40" s="58">
        <v>-0.66044999999999998</v>
      </c>
      <c r="I40" s="58">
        <v>-2.86544</v>
      </c>
      <c r="J40" s="58">
        <v>1.33186</v>
      </c>
      <c r="K40" s="58">
        <v>-1.6308</v>
      </c>
      <c r="L40" s="58">
        <v>-0.88</v>
      </c>
      <c r="M40" s="58">
        <v>-0.5635</v>
      </c>
      <c r="N40" s="58">
        <v>0.06</v>
      </c>
      <c r="O40" s="58">
        <v>0.31</v>
      </c>
      <c r="P40" s="58">
        <v>0.41</v>
      </c>
      <c r="Q40" s="58">
        <v>0.52</v>
      </c>
      <c r="R40" s="58">
        <v>0.28999999999999998</v>
      </c>
      <c r="S40" s="58">
        <v>0.45</v>
      </c>
      <c r="T40" s="58">
        <v>0.61</v>
      </c>
      <c r="U40" s="58">
        <v>0.25</v>
      </c>
      <c r="V40" s="58">
        <v>0.37</v>
      </c>
      <c r="W40" s="58">
        <v>0.49</v>
      </c>
      <c r="X40" s="58">
        <v>1.9790000000000001</v>
      </c>
      <c r="Y40" s="58">
        <v>-2.1430500000000001</v>
      </c>
    </row>
    <row r="41" spans="1:25" x14ac:dyDescent="0.25">
      <c r="A41" s="57" t="s">
        <v>112</v>
      </c>
      <c r="B41" s="57" t="s">
        <v>11</v>
      </c>
      <c r="C41" s="57">
        <v>81</v>
      </c>
      <c r="D41" s="57" t="s">
        <v>52</v>
      </c>
      <c r="E41" s="57">
        <v>30</v>
      </c>
      <c r="F41" s="57">
        <v>23.75</v>
      </c>
      <c r="G41" s="58">
        <v>1.26423</v>
      </c>
      <c r="H41" s="58">
        <v>-0.70503000000000005</v>
      </c>
      <c r="I41" s="58">
        <v>5.194E-2</v>
      </c>
      <c r="J41" s="58">
        <v>-0.85982999999999998</v>
      </c>
      <c r="K41" s="58">
        <v>8.6199999999999992E-3</v>
      </c>
      <c r="L41" s="58">
        <v>0.72</v>
      </c>
      <c r="M41" s="58">
        <v>-0.73858000000000001</v>
      </c>
      <c r="N41" s="58">
        <v>0.06</v>
      </c>
      <c r="O41" s="58">
        <v>0.28000000000000003</v>
      </c>
      <c r="P41" s="58">
        <v>0.48</v>
      </c>
      <c r="Q41" s="58">
        <v>0.68</v>
      </c>
      <c r="R41" s="58">
        <v>0.19</v>
      </c>
      <c r="S41" s="58">
        <v>0.39</v>
      </c>
      <c r="T41" s="58">
        <v>0.6</v>
      </c>
      <c r="U41" s="58">
        <v>0.17</v>
      </c>
      <c r="V41" s="58">
        <v>0.33</v>
      </c>
      <c r="W41" s="58">
        <v>0.49</v>
      </c>
      <c r="X41" s="58">
        <v>1.9448799999999999</v>
      </c>
      <c r="Y41" s="58">
        <v>-2.3137500000000002</v>
      </c>
    </row>
    <row r="42" spans="1:25" x14ac:dyDescent="0.25">
      <c r="A42" s="57" t="s">
        <v>113</v>
      </c>
      <c r="B42" s="57" t="s">
        <v>11</v>
      </c>
      <c r="C42" s="57">
        <v>60</v>
      </c>
      <c r="D42" s="57" t="s">
        <v>51</v>
      </c>
      <c r="E42" s="57">
        <v>30</v>
      </c>
      <c r="F42" s="57">
        <v>32.5</v>
      </c>
      <c r="G42" s="58">
        <v>1.72811</v>
      </c>
      <c r="H42" s="58">
        <v>0.10523</v>
      </c>
      <c r="I42" s="58">
        <v>-0.22872000000000001</v>
      </c>
      <c r="J42" s="58">
        <v>1.4966600000000001</v>
      </c>
      <c r="K42" s="58">
        <v>-0.63205</v>
      </c>
      <c r="L42" s="58">
        <v>1.06</v>
      </c>
      <c r="M42" s="58">
        <v>0.47417999999999999</v>
      </c>
      <c r="N42" s="58">
        <v>0.38</v>
      </c>
      <c r="O42" s="58">
        <v>0.2</v>
      </c>
      <c r="P42" s="58">
        <v>0.31</v>
      </c>
      <c r="Q42" s="58">
        <v>0.41</v>
      </c>
      <c r="R42" s="58">
        <v>0.13</v>
      </c>
      <c r="S42" s="58">
        <v>0.31</v>
      </c>
      <c r="T42" s="58">
        <v>0.48</v>
      </c>
      <c r="U42" s="58">
        <v>0.15</v>
      </c>
      <c r="V42" s="58">
        <v>0.26</v>
      </c>
      <c r="W42" s="58">
        <v>0.37</v>
      </c>
      <c r="X42" s="58">
        <v>-0.12604000000000001</v>
      </c>
      <c r="Y42" s="58">
        <v>0.69311999999999996</v>
      </c>
    </row>
  </sheetData>
  <mergeCells count="4">
    <mergeCell ref="G1:N1"/>
    <mergeCell ref="O1:W1"/>
    <mergeCell ref="X1:Y1"/>
    <mergeCell ref="A1:F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1259-7640-4FDB-B0D6-4706B14AA2FE}">
  <sheetPr>
    <tabColor theme="7"/>
  </sheetPr>
  <dimension ref="A1:V77"/>
  <sheetViews>
    <sheetView workbookViewId="0"/>
  </sheetViews>
  <sheetFormatPr defaultRowHeight="15" x14ac:dyDescent="0.25"/>
  <cols>
    <col min="1" max="1" width="13.7109375" bestFit="1" customWidth="1"/>
    <col min="5" max="10" width="9.140625" style="3"/>
    <col min="11" max="11" width="9.140625" customWidth="1"/>
    <col min="12" max="12" width="13.7109375" bestFit="1" customWidth="1"/>
    <col min="13" max="13" width="9.140625" customWidth="1"/>
  </cols>
  <sheetData>
    <row r="1" spans="1:22" x14ac:dyDescent="0.25">
      <c r="A1" s="20"/>
      <c r="B1" s="22" t="s">
        <v>24</v>
      </c>
      <c r="C1" s="20"/>
      <c r="D1" s="20"/>
      <c r="E1" s="21"/>
      <c r="F1" s="21"/>
      <c r="G1" s="21"/>
      <c r="H1" s="21"/>
      <c r="I1" s="21"/>
      <c r="J1" s="21"/>
      <c r="L1" s="20"/>
      <c r="M1" s="22" t="s">
        <v>25</v>
      </c>
      <c r="N1" s="20"/>
      <c r="O1" s="20"/>
      <c r="P1" s="20"/>
      <c r="Q1" s="20"/>
      <c r="R1" s="20"/>
      <c r="S1" s="20"/>
      <c r="T1" s="20"/>
      <c r="U1" s="20"/>
    </row>
    <row r="2" spans="1:22" x14ac:dyDescent="0.25">
      <c r="A2" s="17" t="s">
        <v>29</v>
      </c>
      <c r="E2" s="5"/>
      <c r="F2" s="6" t="s">
        <v>4</v>
      </c>
      <c r="G2" s="6" t="s">
        <v>18</v>
      </c>
      <c r="H2" s="6" t="s">
        <v>6</v>
      </c>
      <c r="I2" s="6" t="s">
        <v>7</v>
      </c>
      <c r="J2" s="6" t="s">
        <v>21</v>
      </c>
      <c r="L2" s="17" t="s">
        <v>29</v>
      </c>
      <c r="P2" s="5"/>
      <c r="Q2" s="6" t="s">
        <v>4</v>
      </c>
      <c r="R2" s="6" t="s">
        <v>18</v>
      </c>
      <c r="S2" s="6" t="s">
        <v>6</v>
      </c>
      <c r="T2" s="6" t="s">
        <v>7</v>
      </c>
      <c r="U2" s="6" t="s">
        <v>21</v>
      </c>
    </row>
    <row r="3" spans="1:22" x14ac:dyDescent="0.25">
      <c r="A3" s="17"/>
      <c r="E3" s="7" t="s">
        <v>1</v>
      </c>
      <c r="F3" s="15"/>
      <c r="G3" s="15">
        <f>F4</f>
        <v>0.18318399999999999</v>
      </c>
      <c r="H3" s="15">
        <f>F5</f>
        <v>0.13689999999999999</v>
      </c>
      <c r="I3" s="15">
        <f>F6</f>
        <v>0.21529600000000002</v>
      </c>
      <c r="J3" s="16">
        <f>F7</f>
        <v>8.7999999999999995E-2</v>
      </c>
      <c r="L3" s="17"/>
      <c r="P3" s="7" t="s">
        <v>1</v>
      </c>
      <c r="Q3" s="15"/>
      <c r="R3" s="15">
        <f>Q4</f>
        <v>0.40960000000000002</v>
      </c>
      <c r="S3" s="15">
        <f>Q5</f>
        <v>0.44756100000000004</v>
      </c>
      <c r="T3" s="15">
        <f>Q6</f>
        <v>0.35880099999999998</v>
      </c>
      <c r="U3" s="16">
        <f>Q7</f>
        <v>0.54908100000000004</v>
      </c>
    </row>
    <row r="4" spans="1:22" x14ac:dyDescent="0.25">
      <c r="A4" s="17"/>
      <c r="D4" t="s">
        <v>18</v>
      </c>
      <c r="E4" s="5"/>
      <c r="F4" s="12">
        <v>0.18318399999999999</v>
      </c>
      <c r="G4" s="12"/>
      <c r="H4" s="12">
        <f>F9-F4</f>
        <v>0.15205699999999997</v>
      </c>
      <c r="I4" s="12">
        <f>F10-F4</f>
        <v>0.169652</v>
      </c>
      <c r="J4" s="12">
        <f>F11-F4</f>
        <v>6.6816000000000014E-2</v>
      </c>
      <c r="K4" s="2"/>
      <c r="L4" s="17"/>
      <c r="O4" t="s">
        <v>18</v>
      </c>
      <c r="P4" s="5"/>
      <c r="Q4" s="12">
        <v>0.40960000000000002</v>
      </c>
      <c r="R4" s="12"/>
      <c r="S4" s="12">
        <f>Q9-Q4</f>
        <v>0.16496399999999994</v>
      </c>
      <c r="T4" s="12">
        <f>Q10-Q4</f>
        <v>0.20036100000000007</v>
      </c>
      <c r="U4" s="12">
        <f>Q11-Q4</f>
        <v>0.30104899999999996</v>
      </c>
      <c r="V4" s="2"/>
    </row>
    <row r="5" spans="1:22" x14ac:dyDescent="0.25">
      <c r="A5" s="17"/>
      <c r="D5" t="s">
        <v>6</v>
      </c>
      <c r="E5" s="5"/>
      <c r="F5" s="12">
        <v>0.13689999999999999</v>
      </c>
      <c r="G5" s="12">
        <f>F9-F5</f>
        <v>0.19834099999999996</v>
      </c>
      <c r="H5" s="12"/>
      <c r="I5" s="12">
        <f>F12-F5</f>
        <v>8.1189000000000039E-2</v>
      </c>
      <c r="J5" s="12">
        <f>F13-F5</f>
        <v>3.1100000000000017E-2</v>
      </c>
      <c r="K5" s="2"/>
      <c r="L5" s="17"/>
      <c r="O5" t="s">
        <v>6</v>
      </c>
      <c r="P5" s="5"/>
      <c r="Q5" s="12">
        <v>0.44756100000000004</v>
      </c>
      <c r="R5" s="12">
        <f>Q9-Q5</f>
        <v>0.12700299999999992</v>
      </c>
      <c r="S5" s="12"/>
      <c r="T5" s="12">
        <f>Q12-Q5</f>
        <v>3.4074999999999911E-2</v>
      </c>
      <c r="U5" s="12">
        <f>Q13-Q5</f>
        <v>0.28004799999999991</v>
      </c>
      <c r="V5" s="2"/>
    </row>
    <row r="6" spans="1:22" x14ac:dyDescent="0.25">
      <c r="A6" s="17"/>
      <c r="D6" t="s">
        <v>7</v>
      </c>
      <c r="E6" s="5"/>
      <c r="F6" s="12">
        <v>0.21529600000000002</v>
      </c>
      <c r="G6" s="12">
        <f>F10-F6</f>
        <v>0.13753999999999997</v>
      </c>
      <c r="H6" s="12">
        <f>F12-F6</f>
        <v>2.7930000000000177E-3</v>
      </c>
      <c r="I6" s="12"/>
      <c r="J6" s="12">
        <f>F14-F6</f>
        <v>1.3703999999999994E-2</v>
      </c>
      <c r="K6" s="2"/>
      <c r="L6" s="17"/>
      <c r="O6" t="s">
        <v>7</v>
      </c>
      <c r="P6" s="5"/>
      <c r="Q6" s="12">
        <v>0.35880099999999998</v>
      </c>
      <c r="R6" s="12">
        <f>Q10-Q6</f>
        <v>0.25116000000000011</v>
      </c>
      <c r="S6" s="12">
        <f>Q12-Q6</f>
        <v>0.12283499999999997</v>
      </c>
      <c r="T6" s="12"/>
      <c r="U6" s="12">
        <f>Q14-Q6</f>
        <v>0.26846300000000006</v>
      </c>
      <c r="V6" s="2"/>
    </row>
    <row r="7" spans="1:22" x14ac:dyDescent="0.25">
      <c r="A7" s="17"/>
      <c r="D7" t="s">
        <v>21</v>
      </c>
      <c r="E7" s="5"/>
      <c r="F7" s="12">
        <v>8.7999999999999995E-2</v>
      </c>
      <c r="G7" s="12">
        <f>F11-F7</f>
        <v>0.16200000000000001</v>
      </c>
      <c r="H7" s="12">
        <f>F13-F7</f>
        <v>8.0000000000000016E-2</v>
      </c>
      <c r="I7" s="12">
        <f>F14-F7</f>
        <v>0.14100000000000001</v>
      </c>
      <c r="J7" s="12"/>
      <c r="K7" s="2"/>
      <c r="L7" s="17"/>
      <c r="O7" t="s">
        <v>21</v>
      </c>
      <c r="P7" s="5"/>
      <c r="Q7" s="12">
        <v>0.54908100000000004</v>
      </c>
      <c r="R7" s="12">
        <f>Q11-Q7</f>
        <v>0.16156799999999993</v>
      </c>
      <c r="S7" s="12">
        <f>Q13-Q7</f>
        <v>0.17852799999999991</v>
      </c>
      <c r="T7" s="12">
        <f>Q14-Q7</f>
        <v>7.8183000000000002E-2</v>
      </c>
      <c r="U7" s="12"/>
      <c r="V7" s="2"/>
    </row>
    <row r="8" spans="1:22" x14ac:dyDescent="0.25">
      <c r="A8" s="17"/>
      <c r="E8" s="7" t="s">
        <v>0</v>
      </c>
      <c r="F8" s="15" t="s">
        <v>20</v>
      </c>
      <c r="G8" s="15">
        <f>AVERAGE(G4:G7)</f>
        <v>0.16596033333333329</v>
      </c>
      <c r="H8" s="15">
        <f>AVERAGE(H4:H7)</f>
        <v>7.828333333333333E-2</v>
      </c>
      <c r="I8" s="15">
        <f>AVERAGE(I4:I7)</f>
        <v>0.13061366666666668</v>
      </c>
      <c r="J8" s="15">
        <f>AVERAGE(J4:J7)</f>
        <v>3.7206666666666673E-2</v>
      </c>
      <c r="K8" s="2"/>
      <c r="L8" s="17"/>
      <c r="P8" s="7" t="s">
        <v>0</v>
      </c>
      <c r="Q8" s="15" t="s">
        <v>20</v>
      </c>
      <c r="R8" s="15">
        <f>AVERAGE(R4:R7)</f>
        <v>0.17991033333333331</v>
      </c>
      <c r="S8" s="15">
        <f>AVERAGE(S4:S7)</f>
        <v>0.15544233333333327</v>
      </c>
      <c r="T8" s="15">
        <f>AVERAGE(T4:T7)</f>
        <v>0.10420633333333333</v>
      </c>
      <c r="U8" s="15">
        <f>AVERAGE(U4:U7)</f>
        <v>0.28318666666666664</v>
      </c>
      <c r="V8" s="2"/>
    </row>
    <row r="9" spans="1:22" x14ac:dyDescent="0.25">
      <c r="A9" s="17"/>
      <c r="C9" t="s">
        <v>18</v>
      </c>
      <c r="D9" t="s">
        <v>6</v>
      </c>
      <c r="E9" s="5"/>
      <c r="F9" s="12">
        <v>0.33524099999999996</v>
      </c>
      <c r="G9" s="12"/>
      <c r="H9" s="12"/>
      <c r="I9" s="12">
        <f>F16-F9</f>
        <v>3.4423000000000037E-2</v>
      </c>
      <c r="J9" s="12">
        <f>F17-F9</f>
        <v>1.5759000000000023E-2</v>
      </c>
      <c r="K9" s="2"/>
      <c r="L9" s="17"/>
      <c r="N9" t="s">
        <v>18</v>
      </c>
      <c r="O9" t="s">
        <v>6</v>
      </c>
      <c r="P9" s="5"/>
      <c r="Q9" s="12">
        <v>0.57456399999999996</v>
      </c>
      <c r="R9" s="12"/>
      <c r="S9" s="12"/>
      <c r="T9" s="12">
        <f>Q16-Q9</f>
        <v>5.4285000000000139E-2</v>
      </c>
      <c r="U9" s="12">
        <f>Q17-Q9</f>
        <v>0.21575700000000009</v>
      </c>
      <c r="V9" s="2"/>
    </row>
    <row r="10" spans="1:22" x14ac:dyDescent="0.25">
      <c r="A10" s="17"/>
      <c r="C10" t="s">
        <v>18</v>
      </c>
      <c r="D10" t="s">
        <v>7</v>
      </c>
      <c r="E10" s="5"/>
      <c r="F10" s="12">
        <v>0.35283599999999998</v>
      </c>
      <c r="G10" s="12"/>
      <c r="H10" s="12">
        <f>F16-F10</f>
        <v>1.682800000000001E-2</v>
      </c>
      <c r="I10" s="12"/>
      <c r="J10" s="12">
        <f>F18-F10</f>
        <v>9.1640000000000055E-3</v>
      </c>
      <c r="K10" s="2"/>
      <c r="L10" s="17"/>
      <c r="N10" t="s">
        <v>18</v>
      </c>
      <c r="O10" t="s">
        <v>7</v>
      </c>
      <c r="P10" s="5"/>
      <c r="Q10" s="12">
        <v>0.60996100000000009</v>
      </c>
      <c r="R10" s="12"/>
      <c r="S10" s="12">
        <f>Q16-Q10</f>
        <v>1.8888000000000016E-2</v>
      </c>
      <c r="T10" s="12"/>
      <c r="U10" s="12">
        <f>Q18-Q10</f>
        <v>0.15741499999999986</v>
      </c>
      <c r="V10" s="2"/>
    </row>
    <row r="11" spans="1:22" x14ac:dyDescent="0.25">
      <c r="A11" s="17"/>
      <c r="C11" t="s">
        <v>18</v>
      </c>
      <c r="D11" t="s">
        <v>21</v>
      </c>
      <c r="E11" s="5"/>
      <c r="F11" s="12">
        <v>0.25</v>
      </c>
      <c r="G11" s="12"/>
      <c r="H11" s="12">
        <f>F17-F11</f>
        <v>0.10099999999999998</v>
      </c>
      <c r="I11" s="12">
        <f>F18-F11</f>
        <v>0.11199999999999999</v>
      </c>
      <c r="J11" s="12"/>
      <c r="K11" s="2"/>
      <c r="L11" s="17"/>
      <c r="N11" t="s">
        <v>18</v>
      </c>
      <c r="O11" t="s">
        <v>21</v>
      </c>
      <c r="P11" s="5"/>
      <c r="Q11" s="12">
        <v>0.71064899999999998</v>
      </c>
      <c r="R11" s="12"/>
      <c r="S11" s="12">
        <f>Q17-Q11</f>
        <v>7.9672000000000076E-2</v>
      </c>
      <c r="T11" s="12">
        <f>Q18-Q11</f>
        <v>5.6726999999999972E-2</v>
      </c>
      <c r="U11" s="12"/>
      <c r="V11" s="2"/>
    </row>
    <row r="12" spans="1:22" x14ac:dyDescent="0.25">
      <c r="A12" s="17"/>
      <c r="C12" t="s">
        <v>6</v>
      </c>
      <c r="D12" t="s">
        <v>7</v>
      </c>
      <c r="E12" s="5"/>
      <c r="F12" s="12">
        <v>0.21808900000000003</v>
      </c>
      <c r="G12" s="12">
        <f>F16-F12</f>
        <v>0.15157499999999996</v>
      </c>
      <c r="H12" s="12"/>
      <c r="I12" s="12"/>
      <c r="J12" s="12">
        <f>F19-F12</f>
        <v>1.2910999999999978E-2</v>
      </c>
      <c r="K12" s="2"/>
      <c r="L12" s="17"/>
      <c r="N12" t="s">
        <v>6</v>
      </c>
      <c r="O12" t="s">
        <v>7</v>
      </c>
      <c r="P12" s="5"/>
      <c r="Q12" s="12">
        <v>0.48163599999999995</v>
      </c>
      <c r="R12" s="12">
        <f>Q16-Q12</f>
        <v>0.14721300000000015</v>
      </c>
      <c r="S12" s="12"/>
      <c r="T12" s="12"/>
      <c r="U12" s="12">
        <f>Q19-Q12</f>
        <v>0.245973</v>
      </c>
      <c r="V12" s="2"/>
    </row>
    <row r="13" spans="1:22" x14ac:dyDescent="0.25">
      <c r="A13" s="17"/>
      <c r="C13" t="s">
        <v>6</v>
      </c>
      <c r="D13" t="s">
        <v>21</v>
      </c>
      <c r="E13" s="5"/>
      <c r="F13" s="12">
        <v>0.16800000000000001</v>
      </c>
      <c r="G13" s="12">
        <f>F17-F13</f>
        <v>0.18299999999999997</v>
      </c>
      <c r="H13" s="12"/>
      <c r="I13" s="12">
        <f>F19-F13</f>
        <v>6.3E-2</v>
      </c>
      <c r="J13" s="12"/>
      <c r="K13" s="2"/>
      <c r="L13" s="17"/>
      <c r="N13" t="s">
        <v>6</v>
      </c>
      <c r="O13" t="s">
        <v>21</v>
      </c>
      <c r="P13" s="5"/>
      <c r="Q13" s="12">
        <v>0.72760899999999995</v>
      </c>
      <c r="R13" s="12">
        <f>Q17-Q13</f>
        <v>6.2712000000000101E-2</v>
      </c>
      <c r="S13" s="12"/>
      <c r="T13" s="12">
        <f>Q19-Q13</f>
        <v>0</v>
      </c>
      <c r="U13" s="12"/>
      <c r="V13" s="2"/>
    </row>
    <row r="14" spans="1:22" x14ac:dyDescent="0.25">
      <c r="A14" s="17"/>
      <c r="C14" t="s">
        <v>7</v>
      </c>
      <c r="D14" t="s">
        <v>21</v>
      </c>
      <c r="E14" s="5"/>
      <c r="F14" s="12">
        <v>0.22900000000000001</v>
      </c>
      <c r="G14" s="12">
        <f>F18-F14</f>
        <v>0.13299999999999998</v>
      </c>
      <c r="H14" s="12">
        <f>F19-F14</f>
        <v>2.0000000000000018E-3</v>
      </c>
      <c r="I14" s="12"/>
      <c r="J14" s="12"/>
      <c r="K14" s="2"/>
      <c r="L14" s="17"/>
      <c r="N14" t="s">
        <v>7</v>
      </c>
      <c r="O14" t="s">
        <v>21</v>
      </c>
      <c r="P14" s="5"/>
      <c r="Q14" s="12">
        <v>0.62726400000000004</v>
      </c>
      <c r="R14" s="12">
        <f>Q18-Q14</f>
        <v>0.1401119999999999</v>
      </c>
      <c r="S14" s="12">
        <f>Q19-Q14</f>
        <v>0.10034499999999991</v>
      </c>
      <c r="T14" s="12"/>
      <c r="U14" s="12"/>
      <c r="V14" s="2"/>
    </row>
    <row r="15" spans="1:22" x14ac:dyDescent="0.25">
      <c r="A15" s="17"/>
      <c r="E15" s="7" t="s">
        <v>2</v>
      </c>
      <c r="F15" s="15" t="s">
        <v>20</v>
      </c>
      <c r="G15" s="15">
        <f>AVERAGE(G11:G14)</f>
        <v>0.15585833333333332</v>
      </c>
      <c r="H15" s="15">
        <f>AVERAGE(H11:H14)</f>
        <v>5.149999999999999E-2</v>
      </c>
      <c r="I15" s="15">
        <f>AVERAGE(I11:I14)</f>
        <v>8.7499999999999994E-2</v>
      </c>
      <c r="J15" s="15">
        <f>AVERAGE(J11:J14)</f>
        <v>1.2910999999999978E-2</v>
      </c>
      <c r="K15" s="2"/>
      <c r="L15" s="17"/>
      <c r="P15" s="7" t="s">
        <v>2</v>
      </c>
      <c r="Q15" s="15" t="s">
        <v>20</v>
      </c>
      <c r="R15" s="15">
        <f>AVERAGE(R11:R14)</f>
        <v>0.11667900000000005</v>
      </c>
      <c r="S15" s="15">
        <f>AVERAGE(S11:S14)</f>
        <v>9.0008499999999991E-2</v>
      </c>
      <c r="T15" s="15">
        <f>AVERAGE(T11:T14)</f>
        <v>2.8363499999999986E-2</v>
      </c>
      <c r="U15" s="15">
        <f>AVERAGE(U11:U14)</f>
        <v>0.245973</v>
      </c>
      <c r="V15" s="2"/>
    </row>
    <row r="16" spans="1:22" x14ac:dyDescent="0.25">
      <c r="A16" s="17"/>
      <c r="B16" t="s">
        <v>18</v>
      </c>
      <c r="C16" t="s">
        <v>6</v>
      </c>
      <c r="D16" t="s">
        <v>7</v>
      </c>
      <c r="E16" s="5"/>
      <c r="F16" s="12">
        <v>0.36966399999999999</v>
      </c>
      <c r="G16" s="12"/>
      <c r="H16" s="12"/>
      <c r="I16" s="12"/>
      <c r="J16" s="12">
        <f>F21-F16</f>
        <v>7.3360000000000092E-3</v>
      </c>
      <c r="K16" s="2"/>
      <c r="L16" s="17"/>
      <c r="M16" t="s">
        <v>18</v>
      </c>
      <c r="N16" t="s">
        <v>6</v>
      </c>
      <c r="O16" t="s">
        <v>7</v>
      </c>
      <c r="P16" s="5"/>
      <c r="Q16" s="12">
        <v>0.6288490000000001</v>
      </c>
      <c r="R16" s="12"/>
      <c r="S16" s="12"/>
      <c r="T16" s="12"/>
      <c r="U16" s="12">
        <f>Q21-Q16</f>
        <v>0.16503199999999996</v>
      </c>
      <c r="V16" s="2"/>
    </row>
    <row r="17" spans="1:22" x14ac:dyDescent="0.25">
      <c r="A17" s="17"/>
      <c r="B17" t="s">
        <v>18</v>
      </c>
      <c r="C17" t="s">
        <v>6</v>
      </c>
      <c r="D17" t="s">
        <v>21</v>
      </c>
      <c r="E17" s="5"/>
      <c r="F17" s="12">
        <v>0.35099999999999998</v>
      </c>
      <c r="G17" s="12"/>
      <c r="H17" s="12"/>
      <c r="I17" s="12">
        <f>F21-F17</f>
        <v>2.6000000000000023E-2</v>
      </c>
      <c r="J17" s="12"/>
      <c r="K17" s="2"/>
      <c r="L17" s="17"/>
      <c r="M17" t="s">
        <v>18</v>
      </c>
      <c r="N17" t="s">
        <v>6</v>
      </c>
      <c r="O17" t="s">
        <v>21</v>
      </c>
      <c r="P17" s="5"/>
      <c r="Q17" s="12">
        <v>0.79032100000000005</v>
      </c>
      <c r="R17" s="12"/>
      <c r="S17" s="12"/>
      <c r="T17" s="12">
        <f>Q21-Q17</f>
        <v>3.5600000000000076E-3</v>
      </c>
      <c r="U17" s="12"/>
      <c r="V17" s="2"/>
    </row>
    <row r="18" spans="1:22" x14ac:dyDescent="0.25">
      <c r="A18" s="17"/>
      <c r="B18" t="s">
        <v>18</v>
      </c>
      <c r="C18" t="s">
        <v>7</v>
      </c>
      <c r="D18" t="s">
        <v>21</v>
      </c>
      <c r="E18" s="5"/>
      <c r="F18" s="12">
        <v>0.36199999999999999</v>
      </c>
      <c r="G18" s="12"/>
      <c r="H18" s="12">
        <f>F21-F18</f>
        <v>1.5000000000000013E-2</v>
      </c>
      <c r="I18" s="12"/>
      <c r="J18" s="12"/>
      <c r="K18" s="2"/>
      <c r="L18" s="17"/>
      <c r="M18" t="s">
        <v>18</v>
      </c>
      <c r="N18" t="s">
        <v>7</v>
      </c>
      <c r="O18" t="s">
        <v>21</v>
      </c>
      <c r="P18" s="5"/>
      <c r="Q18" s="12">
        <v>0.76737599999999995</v>
      </c>
      <c r="R18" s="12"/>
      <c r="S18" s="12">
        <f>Q21-Q18</f>
        <v>2.6505000000000112E-2</v>
      </c>
      <c r="T18" s="12"/>
      <c r="U18" s="12"/>
      <c r="V18" s="2"/>
    </row>
    <row r="19" spans="1:22" x14ac:dyDescent="0.25">
      <c r="A19" s="17"/>
      <c r="B19" t="s">
        <v>6</v>
      </c>
      <c r="C19" t="s">
        <v>7</v>
      </c>
      <c r="D19" t="s">
        <v>21</v>
      </c>
      <c r="E19" s="5"/>
      <c r="F19" s="12">
        <v>0.23100000000000001</v>
      </c>
      <c r="G19" s="12">
        <f>F21-F19</f>
        <v>0.14599999999999999</v>
      </c>
      <c r="H19" s="12"/>
      <c r="I19" s="12"/>
      <c r="J19" s="12"/>
      <c r="K19" s="2"/>
      <c r="L19" s="17"/>
      <c r="M19" t="s">
        <v>6</v>
      </c>
      <c r="N19" t="s">
        <v>7</v>
      </c>
      <c r="O19" t="s">
        <v>21</v>
      </c>
      <c r="P19" s="5"/>
      <c r="Q19" s="12">
        <v>0.72760899999999995</v>
      </c>
      <c r="R19" s="12">
        <f>Q21-Q19</f>
        <v>6.6272000000000109E-2</v>
      </c>
      <c r="S19" s="12"/>
      <c r="T19" s="12"/>
      <c r="U19" s="12"/>
      <c r="V19" s="2"/>
    </row>
    <row r="20" spans="1:22" x14ac:dyDescent="0.25">
      <c r="A20" s="17"/>
      <c r="E20" s="7" t="s">
        <v>3</v>
      </c>
      <c r="F20" s="15" t="s">
        <v>20</v>
      </c>
      <c r="G20" s="15">
        <f>AVERAGE(G16:G19)</f>
        <v>0.14599999999999999</v>
      </c>
      <c r="H20" s="15">
        <f>AVERAGE(H16:H19)</f>
        <v>1.5000000000000013E-2</v>
      </c>
      <c r="I20" s="15">
        <f>AVERAGE(I16:I19)</f>
        <v>2.6000000000000023E-2</v>
      </c>
      <c r="J20" s="15">
        <f>AVERAGE(J16:J19)</f>
        <v>7.3360000000000092E-3</v>
      </c>
      <c r="K20" s="2"/>
      <c r="L20" s="17"/>
      <c r="P20" s="7" t="s">
        <v>3</v>
      </c>
      <c r="Q20" s="15" t="s">
        <v>20</v>
      </c>
      <c r="R20" s="15">
        <f>AVERAGE(R16:R19)</f>
        <v>6.6272000000000109E-2</v>
      </c>
      <c r="S20" s="15">
        <f>AVERAGE(S16:S19)</f>
        <v>2.6505000000000112E-2</v>
      </c>
      <c r="T20" s="15">
        <f>AVERAGE(T16:T19)</f>
        <v>3.5600000000000076E-3</v>
      </c>
      <c r="U20" s="15">
        <f>AVERAGE(U16:U19)</f>
        <v>0.16503199999999996</v>
      </c>
      <c r="V20" s="2"/>
    </row>
    <row r="21" spans="1:22" x14ac:dyDescent="0.25">
      <c r="A21" s="17"/>
      <c r="B21" t="s">
        <v>18</v>
      </c>
      <c r="C21" t="s">
        <v>6</v>
      </c>
      <c r="D21" t="s">
        <v>7</v>
      </c>
      <c r="E21" s="5" t="s">
        <v>21</v>
      </c>
      <c r="F21" s="12">
        <v>0.377</v>
      </c>
      <c r="G21" s="12"/>
      <c r="H21" s="12"/>
      <c r="I21" s="12"/>
      <c r="J21" s="12"/>
      <c r="K21" s="2"/>
      <c r="L21" s="17"/>
      <c r="M21" t="s">
        <v>18</v>
      </c>
      <c r="N21" t="s">
        <v>6</v>
      </c>
      <c r="O21" t="s">
        <v>7</v>
      </c>
      <c r="P21" s="5" t="s">
        <v>21</v>
      </c>
      <c r="Q21" s="12">
        <v>0.79388100000000006</v>
      </c>
      <c r="R21" s="12"/>
      <c r="S21" s="12"/>
      <c r="T21" s="12"/>
      <c r="U21" s="12"/>
      <c r="V21" s="2"/>
    </row>
    <row r="22" spans="1:22" x14ac:dyDescent="0.25">
      <c r="A22" s="17"/>
      <c r="E22" s="7" t="s">
        <v>5</v>
      </c>
      <c r="F22" s="15"/>
      <c r="G22" s="15">
        <f>AVERAGE(G3,G8,G15,G20)</f>
        <v>0.16275066666666665</v>
      </c>
      <c r="H22" s="15">
        <f>AVERAGE(H3,H8,H15,H20)</f>
        <v>7.0420833333333335E-2</v>
      </c>
      <c r="I22" s="15">
        <f>AVERAGE(I3,I8,I15,I20)</f>
        <v>0.11485241666666668</v>
      </c>
      <c r="J22" s="15">
        <f>AVERAGE(J3,J8,J15,J20)</f>
        <v>3.6363416666666662E-2</v>
      </c>
      <c r="L22" s="17"/>
      <c r="P22" s="7" t="s">
        <v>5</v>
      </c>
      <c r="Q22" s="15"/>
      <c r="R22" s="15">
        <f>AVERAGE(R3,R8,R15,R20)</f>
        <v>0.19311533333333339</v>
      </c>
      <c r="S22" s="15">
        <f>AVERAGE(S3,S8,S15,S20)</f>
        <v>0.17987920833333335</v>
      </c>
      <c r="T22" s="15">
        <f>AVERAGE(T3,T8,T15,T20)</f>
        <v>0.12373270833333333</v>
      </c>
      <c r="U22" s="15">
        <f>AVERAGE(U3,U8,U15,U20)</f>
        <v>0.31081816666666662</v>
      </c>
    </row>
    <row r="24" spans="1:22" x14ac:dyDescent="0.25">
      <c r="I24" s="4"/>
    </row>
    <row r="25" spans="1:22" x14ac:dyDescent="0.25">
      <c r="G25" s="4"/>
      <c r="H25" s="4"/>
      <c r="I25" s="4"/>
      <c r="J25" s="4"/>
      <c r="K25" s="2"/>
    </row>
    <row r="26" spans="1:22" x14ac:dyDescent="0.25">
      <c r="A26" s="19" t="s">
        <v>30</v>
      </c>
      <c r="E26" s="5"/>
      <c r="F26" s="6" t="s">
        <v>4</v>
      </c>
      <c r="G26" s="6" t="s">
        <v>18</v>
      </c>
      <c r="H26" s="6" t="s">
        <v>6</v>
      </c>
      <c r="I26" s="6" t="s">
        <v>7</v>
      </c>
      <c r="J26" s="6" t="s">
        <v>21</v>
      </c>
      <c r="L26" s="19" t="s">
        <v>30</v>
      </c>
      <c r="P26" s="5"/>
      <c r="Q26" s="6" t="s">
        <v>4</v>
      </c>
      <c r="R26" s="6" t="s">
        <v>18</v>
      </c>
      <c r="S26" s="6" t="s">
        <v>6</v>
      </c>
      <c r="T26" s="6" t="s">
        <v>7</v>
      </c>
      <c r="U26" s="6" t="s">
        <v>21</v>
      </c>
    </row>
    <row r="27" spans="1:22" x14ac:dyDescent="0.25">
      <c r="A27" s="19"/>
      <c r="E27" s="7" t="s">
        <v>1</v>
      </c>
      <c r="F27" s="15"/>
      <c r="G27" s="15">
        <f>F28</f>
        <v>0.26625599999999999</v>
      </c>
      <c r="H27" s="15">
        <f>F29</f>
        <v>0.24108099999999999</v>
      </c>
      <c r="I27" s="15">
        <f>F30</f>
        <v>0.410881</v>
      </c>
      <c r="J27" s="16">
        <f>F31</f>
        <v>0.20801398606913701</v>
      </c>
      <c r="L27" s="19"/>
      <c r="P27" s="7" t="s">
        <v>1</v>
      </c>
      <c r="Q27" s="15"/>
      <c r="R27" s="15">
        <f>Q28</f>
        <v>0.31696899999999995</v>
      </c>
      <c r="S27" s="15">
        <f>Q29</f>
        <v>0.34105599999999997</v>
      </c>
      <c r="T27" s="15">
        <f>Q30</f>
        <v>0.30691600000000008</v>
      </c>
      <c r="U27" s="16">
        <f>Q31</f>
        <v>0.54464400000000002</v>
      </c>
    </row>
    <row r="28" spans="1:22" x14ac:dyDescent="0.25">
      <c r="A28" s="19"/>
      <c r="D28" t="s">
        <v>18</v>
      </c>
      <c r="E28" s="5"/>
      <c r="F28" s="12">
        <v>0.26625599999999999</v>
      </c>
      <c r="G28" s="12"/>
      <c r="H28" s="12">
        <f>F33-F28</f>
        <v>0.26518499999999995</v>
      </c>
      <c r="I28" s="12">
        <f>F34-F28</f>
        <v>0.33436900000000008</v>
      </c>
      <c r="J28" s="12">
        <f>F35-F28</f>
        <v>0.167744</v>
      </c>
      <c r="K28" s="2"/>
      <c r="L28" s="19"/>
      <c r="O28" t="s">
        <v>18</v>
      </c>
      <c r="P28" s="5"/>
      <c r="Q28" s="12">
        <v>0.31696899999999995</v>
      </c>
      <c r="R28" s="12"/>
      <c r="S28" s="12">
        <f>Q33-Q28</f>
        <v>0.12392700000000012</v>
      </c>
      <c r="T28" s="12">
        <f>Q34-Q28</f>
        <v>0.17724000000000001</v>
      </c>
      <c r="U28" s="12">
        <f>Q35-Q28</f>
        <v>0.33105600000000013</v>
      </c>
    </row>
    <row r="29" spans="1:22" x14ac:dyDescent="0.25">
      <c r="A29" s="19"/>
      <c r="D29" t="s">
        <v>6</v>
      </c>
      <c r="E29" s="5"/>
      <c r="F29" s="12">
        <v>0.24108099999999999</v>
      </c>
      <c r="G29" s="12">
        <f>F33-F29</f>
        <v>0.29035999999999995</v>
      </c>
      <c r="H29" s="12"/>
      <c r="I29" s="12">
        <f>F36-F29</f>
        <v>0.17236800000000002</v>
      </c>
      <c r="J29" s="12">
        <f>F37-F29</f>
        <v>9.1919000000000028E-2</v>
      </c>
      <c r="K29" s="2"/>
      <c r="L29" s="19"/>
      <c r="O29" t="s">
        <v>6</v>
      </c>
      <c r="P29" s="5"/>
      <c r="Q29" s="12">
        <v>0.34105599999999997</v>
      </c>
      <c r="R29" s="12">
        <f>Q33-Q29</f>
        <v>9.9840000000000095E-2</v>
      </c>
      <c r="S29" s="12"/>
      <c r="T29" s="12">
        <f>Q36-Q29</f>
        <v>4.0868000000000015E-2</v>
      </c>
      <c r="U29" s="12">
        <f>Q37-Q29</f>
        <v>0.31342500000000012</v>
      </c>
    </row>
    <row r="30" spans="1:22" x14ac:dyDescent="0.25">
      <c r="A30" s="19"/>
      <c r="D30" t="s">
        <v>7</v>
      </c>
      <c r="E30" s="5"/>
      <c r="F30" s="12">
        <v>0.410881</v>
      </c>
      <c r="G30" s="12">
        <f>F34-F30</f>
        <v>0.18974400000000008</v>
      </c>
      <c r="H30" s="12">
        <f>F36-F30</f>
        <v>2.5680000000000147E-3</v>
      </c>
      <c r="I30" s="12"/>
      <c r="J30" s="12">
        <f>F38-F30</f>
        <v>4.4119000000000019E-2</v>
      </c>
      <c r="K30" s="2"/>
      <c r="L30" s="19"/>
      <c r="O30" t="s">
        <v>7</v>
      </c>
      <c r="P30" s="5"/>
      <c r="Q30" s="12">
        <v>0.30691600000000008</v>
      </c>
      <c r="R30" s="12">
        <f>Q34-Q30</f>
        <v>0.18729299999999988</v>
      </c>
      <c r="S30" s="12">
        <f>Q36-Q30</f>
        <v>7.5007999999999908E-2</v>
      </c>
      <c r="T30" s="12"/>
      <c r="U30" s="12">
        <f>Q38-Q30</f>
        <v>0.2906129999999999</v>
      </c>
    </row>
    <row r="31" spans="1:22" x14ac:dyDescent="0.25">
      <c r="A31" s="19"/>
      <c r="D31" t="s">
        <v>21</v>
      </c>
      <c r="E31" s="5"/>
      <c r="F31" s="12">
        <v>0.20801398606913701</v>
      </c>
      <c r="G31" s="12">
        <f>F35-F31</f>
        <v>0.22598601393086298</v>
      </c>
      <c r="H31" s="12">
        <f>F37-F31</f>
        <v>0.124986013930863</v>
      </c>
      <c r="I31" s="12">
        <f>F38-F31</f>
        <v>0.246986013930863</v>
      </c>
      <c r="J31" s="12"/>
      <c r="K31" s="2"/>
      <c r="L31" s="19"/>
      <c r="O31" t="s">
        <v>21</v>
      </c>
      <c r="P31" s="5"/>
      <c r="Q31" s="12">
        <v>0.54464400000000002</v>
      </c>
      <c r="R31" s="12">
        <f>Q35-Q31</f>
        <v>0.10338100000000006</v>
      </c>
      <c r="S31" s="12">
        <f>Q37-Q31</f>
        <v>0.10983700000000007</v>
      </c>
      <c r="T31" s="12">
        <f>Q38-Q31</f>
        <v>5.288499999999996E-2</v>
      </c>
      <c r="U31" s="12"/>
    </row>
    <row r="32" spans="1:22" x14ac:dyDescent="0.25">
      <c r="A32" s="19"/>
      <c r="E32" s="7" t="s">
        <v>0</v>
      </c>
      <c r="F32" s="15" t="s">
        <v>20</v>
      </c>
      <c r="G32" s="15">
        <f>AVERAGE(G28:G31)</f>
        <v>0.23536333797695433</v>
      </c>
      <c r="H32" s="15">
        <f>AVERAGE(H28:H31)</f>
        <v>0.13091300464362099</v>
      </c>
      <c r="I32" s="15">
        <f>AVERAGE(I28:I31)</f>
        <v>0.25124100464362104</v>
      </c>
      <c r="J32" s="15">
        <f>AVERAGE(J28:J31)</f>
        <v>0.10126066666666668</v>
      </c>
      <c r="K32" s="2"/>
      <c r="L32" s="19"/>
      <c r="P32" s="7" t="s">
        <v>0</v>
      </c>
      <c r="Q32" s="15" t="s">
        <v>20</v>
      </c>
      <c r="R32" s="15">
        <f>AVERAGE(R28:R31)</f>
        <v>0.13017133333333333</v>
      </c>
      <c r="S32" s="15">
        <f>AVERAGE(S28:S31)</f>
        <v>0.10292400000000003</v>
      </c>
      <c r="T32" s="15">
        <f>AVERAGE(T28:T31)</f>
        <v>9.0330999999999995E-2</v>
      </c>
      <c r="U32" s="15">
        <f>AVERAGE(U28:U31)</f>
        <v>0.31169800000000009</v>
      </c>
    </row>
    <row r="33" spans="1:21" x14ac:dyDescent="0.25">
      <c r="A33" s="19"/>
      <c r="C33" t="s">
        <v>18</v>
      </c>
      <c r="D33" t="s">
        <v>6</v>
      </c>
      <c r="E33" s="5"/>
      <c r="F33" s="12">
        <v>0.53144099999999994</v>
      </c>
      <c r="G33" s="12"/>
      <c r="H33" s="12"/>
      <c r="I33" s="12">
        <f>F40-F33</f>
        <v>8.7928000000000117E-2</v>
      </c>
      <c r="J33" s="12">
        <f>F41-F33</f>
        <v>5.8559000000000028E-2</v>
      </c>
      <c r="K33" s="2"/>
      <c r="L33" s="19"/>
      <c r="N33" t="s">
        <v>18</v>
      </c>
      <c r="O33" t="s">
        <v>6</v>
      </c>
      <c r="P33" s="5"/>
      <c r="Q33" s="12">
        <v>0.44089600000000007</v>
      </c>
      <c r="R33" s="12"/>
      <c r="S33" s="12"/>
      <c r="T33" s="12">
        <f>Q40-Q33</f>
        <v>6.1784999999999868E-2</v>
      </c>
      <c r="U33" s="12">
        <f>Q41-Q33</f>
        <v>0.25465999999999989</v>
      </c>
    </row>
    <row r="34" spans="1:21" x14ac:dyDescent="0.25">
      <c r="A34" s="19"/>
      <c r="C34" t="s">
        <v>18</v>
      </c>
      <c r="D34" t="s">
        <v>7</v>
      </c>
      <c r="E34" s="5"/>
      <c r="F34" s="12">
        <v>0.60062500000000008</v>
      </c>
      <c r="G34" s="12"/>
      <c r="H34" s="12">
        <f>F40-F34</f>
        <v>1.8743999999999983E-2</v>
      </c>
      <c r="I34" s="12"/>
      <c r="J34" s="12">
        <f>F42-F34</f>
        <v>3.5374999999999934E-2</v>
      </c>
      <c r="K34" s="2"/>
      <c r="L34" s="19"/>
      <c r="N34" t="s">
        <v>18</v>
      </c>
      <c r="O34" t="s">
        <v>7</v>
      </c>
      <c r="P34" s="5"/>
      <c r="Q34" s="12">
        <v>0.49420899999999995</v>
      </c>
      <c r="R34" s="12"/>
      <c r="S34" s="12">
        <f>Q40-Q34</f>
        <v>8.4719999999999795E-3</v>
      </c>
      <c r="T34" s="12"/>
      <c r="U34" s="12">
        <f>Q42-Q34</f>
        <v>0.19303199999999993</v>
      </c>
    </row>
    <row r="35" spans="1:21" x14ac:dyDescent="0.25">
      <c r="A35" s="19"/>
      <c r="C35" t="s">
        <v>18</v>
      </c>
      <c r="D35" t="s">
        <v>21</v>
      </c>
      <c r="E35" s="5"/>
      <c r="F35" s="12">
        <v>0.434</v>
      </c>
      <c r="G35" s="12"/>
      <c r="H35" s="12">
        <f>F41-F35</f>
        <v>0.15599999999999997</v>
      </c>
      <c r="I35" s="12">
        <f>F42-F35</f>
        <v>0.20200000000000001</v>
      </c>
      <c r="J35" s="12"/>
      <c r="K35" s="2"/>
      <c r="L35" s="19"/>
      <c r="N35" t="s">
        <v>18</v>
      </c>
      <c r="O35" t="s">
        <v>21</v>
      </c>
      <c r="P35" s="5"/>
      <c r="Q35" s="12">
        <v>0.64802500000000007</v>
      </c>
      <c r="R35" s="12"/>
      <c r="S35" s="12">
        <f>Q41-Q35</f>
        <v>4.7530999999999879E-2</v>
      </c>
      <c r="T35" s="12">
        <f>Q42-Q35</f>
        <v>3.9215999999999807E-2</v>
      </c>
      <c r="U35" s="12"/>
    </row>
    <row r="36" spans="1:21" x14ac:dyDescent="0.25">
      <c r="A36" s="19"/>
      <c r="C36" t="s">
        <v>6</v>
      </c>
      <c r="D36" t="s">
        <v>7</v>
      </c>
      <c r="E36" s="5"/>
      <c r="F36" s="12">
        <v>0.41344900000000001</v>
      </c>
      <c r="G36" s="12">
        <f>F40-F36</f>
        <v>0.20592000000000005</v>
      </c>
      <c r="H36" s="12"/>
      <c r="I36" s="12"/>
      <c r="J36" s="12">
        <f>F43-F36</f>
        <v>4.1551000000000005E-2</v>
      </c>
      <c r="K36" s="2"/>
      <c r="L36" s="19"/>
      <c r="N36" t="s">
        <v>6</v>
      </c>
      <c r="O36" t="s">
        <v>7</v>
      </c>
      <c r="P36" s="5"/>
      <c r="Q36" s="12">
        <v>0.38192399999999999</v>
      </c>
      <c r="R36" s="12">
        <f>Q40-Q36</f>
        <v>0.12075699999999995</v>
      </c>
      <c r="S36" s="12"/>
      <c r="T36" s="12"/>
      <c r="U36" s="12">
        <f>Q43-Q36</f>
        <v>0.2725570000000001</v>
      </c>
    </row>
    <row r="37" spans="1:21" x14ac:dyDescent="0.25">
      <c r="A37" s="19"/>
      <c r="C37" t="s">
        <v>6</v>
      </c>
      <c r="D37" t="s">
        <v>21</v>
      </c>
      <c r="E37" s="5"/>
      <c r="F37" s="12">
        <v>0.33300000000000002</v>
      </c>
      <c r="G37" s="12">
        <f>F41-F37</f>
        <v>0.25699999999999995</v>
      </c>
      <c r="H37" s="12"/>
      <c r="I37" s="12">
        <f>F43-F37</f>
        <v>0.122</v>
      </c>
      <c r="J37" s="12"/>
      <c r="K37" s="2"/>
      <c r="L37" s="19"/>
      <c r="N37" t="s">
        <v>6</v>
      </c>
      <c r="O37" t="s">
        <v>21</v>
      </c>
      <c r="P37" s="5"/>
      <c r="Q37" s="12">
        <v>0.65448100000000009</v>
      </c>
      <c r="R37" s="12">
        <f>Q41-Q37</f>
        <v>4.1074999999999862E-2</v>
      </c>
      <c r="S37" s="12"/>
      <c r="T37" s="12">
        <f>Q43-Q37</f>
        <v>0</v>
      </c>
      <c r="U37" s="12"/>
    </row>
    <row r="38" spans="1:21" x14ac:dyDescent="0.25">
      <c r="A38" s="19"/>
      <c r="C38" t="s">
        <v>7</v>
      </c>
      <c r="D38" t="s">
        <v>21</v>
      </c>
      <c r="E38" s="5"/>
      <c r="F38" s="12">
        <v>0.45500000000000002</v>
      </c>
      <c r="G38" s="12">
        <f>F42-F38</f>
        <v>0.18099999999999999</v>
      </c>
      <c r="H38" s="12">
        <f>F43-F38</f>
        <v>0</v>
      </c>
      <c r="I38" s="12"/>
      <c r="J38" s="12"/>
      <c r="K38" s="2"/>
      <c r="L38" s="19"/>
      <c r="N38" t="s">
        <v>7</v>
      </c>
      <c r="O38" t="s">
        <v>21</v>
      </c>
      <c r="P38" s="5"/>
      <c r="Q38" s="12">
        <v>0.59752899999999998</v>
      </c>
      <c r="R38" s="12">
        <f>Q42-Q38</f>
        <v>8.9711999999999903E-2</v>
      </c>
      <c r="S38" s="12">
        <f>Q43-Q38</f>
        <v>5.6952000000000114E-2</v>
      </c>
      <c r="T38" s="12"/>
      <c r="U38" s="12"/>
    </row>
    <row r="39" spans="1:21" x14ac:dyDescent="0.25">
      <c r="A39" s="19"/>
      <c r="E39" s="7" t="s">
        <v>2</v>
      </c>
      <c r="F39" s="15" t="s">
        <v>20</v>
      </c>
      <c r="G39" s="15">
        <f>AVERAGE(G35:G38)</f>
        <v>0.21464000000000003</v>
      </c>
      <c r="H39" s="15">
        <f>AVERAGE(H35:H38)</f>
        <v>7.7999999999999986E-2</v>
      </c>
      <c r="I39" s="15">
        <f>AVERAGE(I35:I38)</f>
        <v>0.16200000000000001</v>
      </c>
      <c r="J39" s="15">
        <f>AVERAGE(J35:J38)</f>
        <v>4.1551000000000005E-2</v>
      </c>
      <c r="K39" s="2"/>
      <c r="L39" s="19"/>
      <c r="P39" s="7" t="s">
        <v>2</v>
      </c>
      <c r="Q39" s="15" t="s">
        <v>20</v>
      </c>
      <c r="R39" s="15">
        <f>AVERAGE(R35:R38)</f>
        <v>8.3847999999999909E-2</v>
      </c>
      <c r="S39" s="15">
        <f>AVERAGE(S35:S38)</f>
        <v>5.2241499999999996E-2</v>
      </c>
      <c r="T39" s="15">
        <f>AVERAGE(T35:T38)</f>
        <v>1.9607999999999903E-2</v>
      </c>
      <c r="U39" s="15">
        <f>AVERAGE(U35:U38)</f>
        <v>0.2725570000000001</v>
      </c>
    </row>
    <row r="40" spans="1:21" x14ac:dyDescent="0.25">
      <c r="A40" s="19"/>
      <c r="B40" t="s">
        <v>18</v>
      </c>
      <c r="C40" t="s">
        <v>6</v>
      </c>
      <c r="D40" t="s">
        <v>7</v>
      </c>
      <c r="E40" s="5"/>
      <c r="F40" s="12">
        <v>0.61936900000000006</v>
      </c>
      <c r="G40" s="12"/>
      <c r="H40" s="12"/>
      <c r="I40" s="12"/>
      <c r="J40" s="12">
        <f>F45-F40</f>
        <v>3.1630999999999965E-2</v>
      </c>
      <c r="K40" s="2"/>
      <c r="L40" s="19"/>
      <c r="M40" t="s">
        <v>18</v>
      </c>
      <c r="N40" t="s">
        <v>6</v>
      </c>
      <c r="O40" t="s">
        <v>7</v>
      </c>
      <c r="P40" s="5"/>
      <c r="Q40" s="12">
        <v>0.50268099999999993</v>
      </c>
      <c r="R40" s="12"/>
      <c r="S40" s="12"/>
      <c r="T40" s="12"/>
      <c r="U40" s="12">
        <f>Q45-Q40</f>
        <v>0.19788800000000006</v>
      </c>
    </row>
    <row r="41" spans="1:21" x14ac:dyDescent="0.25">
      <c r="A41" s="19"/>
      <c r="B41" t="s">
        <v>18</v>
      </c>
      <c r="C41" t="s">
        <v>6</v>
      </c>
      <c r="D41" t="s">
        <v>21</v>
      </c>
      <c r="E41" s="5"/>
      <c r="F41" s="12">
        <v>0.59</v>
      </c>
      <c r="G41" s="12"/>
      <c r="H41" s="12"/>
      <c r="I41" s="12">
        <f>F45-F41</f>
        <v>6.1000000000000054E-2</v>
      </c>
      <c r="J41" s="12"/>
      <c r="K41" s="2"/>
      <c r="L41" s="19"/>
      <c r="M41" t="s">
        <v>18</v>
      </c>
      <c r="N41" t="s">
        <v>6</v>
      </c>
      <c r="O41" t="s">
        <v>21</v>
      </c>
      <c r="P41" s="5"/>
      <c r="Q41" s="12">
        <v>0.69555599999999995</v>
      </c>
      <c r="R41" s="12"/>
      <c r="S41" s="12"/>
      <c r="T41" s="12">
        <f>Q45-Q41</f>
        <v>5.0130000000000452E-3</v>
      </c>
      <c r="U41" s="12"/>
    </row>
    <row r="42" spans="1:21" x14ac:dyDescent="0.25">
      <c r="A42" s="19"/>
      <c r="B42" t="s">
        <v>18</v>
      </c>
      <c r="C42" t="s">
        <v>7</v>
      </c>
      <c r="D42" t="s">
        <v>21</v>
      </c>
      <c r="E42" s="5"/>
      <c r="F42" s="12">
        <v>0.63600000000000001</v>
      </c>
      <c r="G42" s="12"/>
      <c r="H42" s="12">
        <f>F45-F42</f>
        <v>1.5000000000000013E-2</v>
      </c>
      <c r="I42" s="12"/>
      <c r="J42" s="12"/>
      <c r="K42" s="2"/>
      <c r="L42" s="19"/>
      <c r="M42" t="s">
        <v>18</v>
      </c>
      <c r="N42" t="s">
        <v>7</v>
      </c>
      <c r="O42" t="s">
        <v>21</v>
      </c>
      <c r="P42" s="5"/>
      <c r="Q42" s="12">
        <v>0.68724099999999988</v>
      </c>
      <c r="R42" s="12"/>
      <c r="S42" s="12">
        <f>Q45-Q42</f>
        <v>1.3328000000000118E-2</v>
      </c>
      <c r="T42" s="12"/>
      <c r="U42" s="12"/>
    </row>
    <row r="43" spans="1:21" x14ac:dyDescent="0.25">
      <c r="A43" s="19"/>
      <c r="B43" t="s">
        <v>6</v>
      </c>
      <c r="C43" t="s">
        <v>7</v>
      </c>
      <c r="D43" t="s">
        <v>21</v>
      </c>
      <c r="E43" s="5"/>
      <c r="F43" s="12">
        <v>0.45500000000000002</v>
      </c>
      <c r="G43" s="12">
        <f>F45-F43</f>
        <v>0.19600000000000001</v>
      </c>
      <c r="H43" s="12"/>
      <c r="I43" s="12"/>
      <c r="J43" s="12"/>
      <c r="K43" s="2"/>
      <c r="L43" s="19"/>
      <c r="M43" t="s">
        <v>6</v>
      </c>
      <c r="N43" t="s">
        <v>7</v>
      </c>
      <c r="O43" t="s">
        <v>21</v>
      </c>
      <c r="P43" s="5"/>
      <c r="Q43" s="12">
        <v>0.65448100000000009</v>
      </c>
      <c r="R43" s="12">
        <f>Q45-Q43</f>
        <v>4.6087999999999907E-2</v>
      </c>
      <c r="S43" s="12"/>
      <c r="T43" s="12"/>
      <c r="U43" s="12"/>
    </row>
    <row r="44" spans="1:21" x14ac:dyDescent="0.25">
      <c r="A44" s="19"/>
      <c r="E44" s="7" t="s">
        <v>3</v>
      </c>
      <c r="F44" s="15" t="s">
        <v>20</v>
      </c>
      <c r="G44" s="15">
        <f>AVERAGE(G40:G43)</f>
        <v>0.19600000000000001</v>
      </c>
      <c r="H44" s="15">
        <f>AVERAGE(H40:H43)</f>
        <v>1.5000000000000013E-2</v>
      </c>
      <c r="I44" s="15">
        <f>AVERAGE(I40:I43)</f>
        <v>6.1000000000000054E-2</v>
      </c>
      <c r="J44" s="15">
        <f>AVERAGE(J40:J43)</f>
        <v>3.1630999999999965E-2</v>
      </c>
      <c r="K44" s="2"/>
      <c r="L44" s="19"/>
      <c r="P44" s="7" t="s">
        <v>3</v>
      </c>
      <c r="Q44" s="15" t="s">
        <v>20</v>
      </c>
      <c r="R44" s="15">
        <f>AVERAGE(R40:R43)</f>
        <v>4.6087999999999907E-2</v>
      </c>
      <c r="S44" s="15">
        <f>AVERAGE(S40:S43)</f>
        <v>1.3328000000000118E-2</v>
      </c>
      <c r="T44" s="15">
        <f>AVERAGE(T40:T43)</f>
        <v>5.0130000000000452E-3</v>
      </c>
      <c r="U44" s="15">
        <f>AVERAGE(U40:U43)</f>
        <v>0.19788800000000006</v>
      </c>
    </row>
    <row r="45" spans="1:21" x14ac:dyDescent="0.25">
      <c r="A45" s="19"/>
      <c r="B45" t="s">
        <v>18</v>
      </c>
      <c r="C45" t="s">
        <v>6</v>
      </c>
      <c r="D45" t="s">
        <v>7</v>
      </c>
      <c r="E45" s="5" t="s">
        <v>21</v>
      </c>
      <c r="F45" s="12">
        <v>0.65100000000000002</v>
      </c>
      <c r="G45" s="12"/>
      <c r="H45" s="12"/>
      <c r="I45" s="12"/>
      <c r="J45" s="12"/>
      <c r="K45" s="2"/>
      <c r="L45" s="19"/>
      <c r="M45" t="s">
        <v>18</v>
      </c>
      <c r="N45" t="s">
        <v>6</v>
      </c>
      <c r="O45" t="s">
        <v>7</v>
      </c>
      <c r="P45" s="5" t="s">
        <v>21</v>
      </c>
      <c r="Q45" s="12">
        <v>0.700569</v>
      </c>
      <c r="R45" s="12"/>
      <c r="S45" s="12"/>
      <c r="T45" s="12"/>
      <c r="U45" s="12"/>
    </row>
    <row r="46" spans="1:21" x14ac:dyDescent="0.25">
      <c r="A46" s="19"/>
      <c r="E46" s="7" t="s">
        <v>5</v>
      </c>
      <c r="F46" s="15"/>
      <c r="G46" s="15">
        <f>AVERAGE(G27,G32,G39,G44)</f>
        <v>0.22806483449423859</v>
      </c>
      <c r="H46" s="15">
        <f>AVERAGE(H27,H32,H39,H44)</f>
        <v>0.11624850116090524</v>
      </c>
      <c r="I46" s="15">
        <f>AVERAGE(I27,I32,I39,I44)</f>
        <v>0.22128050116090528</v>
      </c>
      <c r="J46" s="15">
        <f>AVERAGE(J27,J32,J39,J44)</f>
        <v>9.5614163183950912E-2</v>
      </c>
      <c r="L46" s="19"/>
      <c r="P46" s="7" t="s">
        <v>5</v>
      </c>
      <c r="Q46" s="15"/>
      <c r="R46" s="15">
        <f>AVERAGE(R27,R32,R39,R44)</f>
        <v>0.14426908333333327</v>
      </c>
      <c r="S46" s="15">
        <f>AVERAGE(S27,S32,S39,S44)</f>
        <v>0.12738737500000002</v>
      </c>
      <c r="T46" s="15">
        <f>AVERAGE(T27,T32,T39,T44)</f>
        <v>0.10546700000000001</v>
      </c>
      <c r="U46" s="15">
        <f>AVERAGE(U27,U32,U39,U44)</f>
        <v>0.3316967500000001</v>
      </c>
    </row>
    <row r="49" spans="1:21" x14ac:dyDescent="0.25">
      <c r="A49" s="18" t="s">
        <v>31</v>
      </c>
      <c r="E49" s="5"/>
      <c r="F49" s="6" t="s">
        <v>4</v>
      </c>
      <c r="G49" s="6" t="s">
        <v>18</v>
      </c>
      <c r="H49" s="6" t="s">
        <v>6</v>
      </c>
      <c r="I49" s="6" t="s">
        <v>7</v>
      </c>
      <c r="J49" s="6" t="s">
        <v>21</v>
      </c>
      <c r="L49" s="18" t="s">
        <v>31</v>
      </c>
      <c r="P49" s="5"/>
      <c r="Q49" s="6" t="s">
        <v>4</v>
      </c>
      <c r="R49" s="6" t="s">
        <v>18</v>
      </c>
      <c r="S49" s="6" t="s">
        <v>6</v>
      </c>
      <c r="T49" s="6" t="s">
        <v>7</v>
      </c>
      <c r="U49" s="6" t="s">
        <v>21</v>
      </c>
    </row>
    <row r="50" spans="1:21" x14ac:dyDescent="0.25">
      <c r="A50" s="18"/>
      <c r="E50" s="7" t="s">
        <v>1</v>
      </c>
      <c r="F50" s="15"/>
      <c r="G50" s="15">
        <f>F51</f>
        <v>0.30140100000000003</v>
      </c>
      <c r="H50" s="15">
        <f>F52</f>
        <v>0.24601599999999998</v>
      </c>
      <c r="I50" s="15">
        <f>F53</f>
        <v>0.43692100000000006</v>
      </c>
      <c r="J50" s="16">
        <f>F54</f>
        <v>0.20599999999999999</v>
      </c>
      <c r="L50" s="18"/>
      <c r="P50" s="7" t="s">
        <v>1</v>
      </c>
      <c r="Q50" s="15"/>
      <c r="R50" s="15">
        <f>Q51</f>
        <v>0.16402500000000003</v>
      </c>
      <c r="S50" s="15">
        <f>Q52</f>
        <v>0.22562499999999999</v>
      </c>
      <c r="T50" s="15">
        <f>Q53</f>
        <v>0.239121</v>
      </c>
      <c r="U50" s="16">
        <f>Q54</f>
        <v>0.43428100000000003</v>
      </c>
    </row>
    <row r="51" spans="1:21" x14ac:dyDescent="0.25">
      <c r="A51" s="18"/>
      <c r="D51" t="s">
        <v>18</v>
      </c>
      <c r="E51" s="5"/>
      <c r="F51" s="12">
        <v>0.30140100000000003</v>
      </c>
      <c r="G51" s="12"/>
      <c r="H51" s="12">
        <f>F56-F51</f>
        <v>0.271648</v>
      </c>
      <c r="I51" s="12">
        <f>F57-F51</f>
        <v>0.35308000000000006</v>
      </c>
      <c r="J51" s="12">
        <f>F58-F51</f>
        <v>0.16359899999999999</v>
      </c>
      <c r="K51" s="2"/>
      <c r="L51" s="18"/>
      <c r="O51" t="s">
        <v>18</v>
      </c>
      <c r="P51" s="5"/>
      <c r="Q51" s="12">
        <v>0.16402500000000003</v>
      </c>
      <c r="R51" s="12"/>
      <c r="S51" s="12">
        <f>Q56-Q51</f>
        <v>0.10017099999999995</v>
      </c>
      <c r="T51" s="12">
        <f>Q57-Q51</f>
        <v>0.15746399999999994</v>
      </c>
      <c r="U51" s="12">
        <f>Q58-Q51</f>
        <v>0.30383100000000002</v>
      </c>
    </row>
    <row r="52" spans="1:21" x14ac:dyDescent="0.25">
      <c r="A52" s="18"/>
      <c r="D52" t="s">
        <v>6</v>
      </c>
      <c r="E52" s="5"/>
      <c r="F52" s="12">
        <v>0.24601599999999998</v>
      </c>
      <c r="G52" s="12">
        <f>F56-F52</f>
        <v>0.32703300000000002</v>
      </c>
      <c r="H52" s="12"/>
      <c r="I52" s="12">
        <f>F59-F52</f>
        <v>0.19222800000000004</v>
      </c>
      <c r="J52" s="12">
        <f>F60-F52</f>
        <v>8.8984000000000035E-2</v>
      </c>
      <c r="K52" s="2"/>
      <c r="L52" s="18"/>
      <c r="O52" t="s">
        <v>6</v>
      </c>
      <c r="P52" s="5"/>
      <c r="Q52" s="12">
        <v>0.22562499999999999</v>
      </c>
      <c r="R52" s="12">
        <f>Q56-Q52</f>
        <v>3.8570999999999994E-2</v>
      </c>
      <c r="S52" s="12"/>
      <c r="T52" s="12">
        <f>Q59-Q52</f>
        <v>4.790400000000003E-2</v>
      </c>
      <c r="U52" s="12">
        <f>Q60-Q52</f>
        <v>0.26999099999999998</v>
      </c>
    </row>
    <row r="53" spans="1:21" x14ac:dyDescent="0.25">
      <c r="A53" s="18"/>
      <c r="D53" t="s">
        <v>7</v>
      </c>
      <c r="E53" s="5"/>
      <c r="F53" s="12">
        <v>0.43692100000000006</v>
      </c>
      <c r="G53" s="12">
        <f>F57-F53</f>
        <v>0.21756000000000003</v>
      </c>
      <c r="H53" s="12">
        <f>F59-F53</f>
        <v>1.3229999999999631E-3</v>
      </c>
      <c r="I53" s="12"/>
      <c r="J53" s="12">
        <f>F61-F53</f>
        <v>3.9078999999999919E-2</v>
      </c>
      <c r="K53" s="2"/>
      <c r="L53" s="18"/>
      <c r="O53" t="s">
        <v>7</v>
      </c>
      <c r="P53" s="5"/>
      <c r="Q53" s="12">
        <v>0.239121</v>
      </c>
      <c r="R53" s="12">
        <f>Q57-Q53</f>
        <v>8.2367999999999969E-2</v>
      </c>
      <c r="S53" s="12">
        <f>Q59-Q53</f>
        <v>3.4408000000000022E-2</v>
      </c>
      <c r="T53" s="12"/>
      <c r="U53" s="12">
        <f>Q61-Q53</f>
        <v>0.23559999999999995</v>
      </c>
    </row>
    <row r="54" spans="1:21" x14ac:dyDescent="0.25">
      <c r="A54" s="18"/>
      <c r="D54" t="s">
        <v>21</v>
      </c>
      <c r="E54" s="5"/>
      <c r="F54" s="12">
        <v>0.20599999999999999</v>
      </c>
      <c r="G54" s="12">
        <f>F58-F54</f>
        <v>0.25900000000000001</v>
      </c>
      <c r="H54" s="12">
        <f>F60-F54</f>
        <v>0.12900000000000003</v>
      </c>
      <c r="I54" s="12">
        <f>F61-F54</f>
        <v>0.27</v>
      </c>
      <c r="J54" s="12"/>
      <c r="K54" s="2"/>
      <c r="L54" s="18"/>
      <c r="O54" t="s">
        <v>21</v>
      </c>
      <c r="P54" s="5"/>
      <c r="Q54" s="12">
        <v>0.43428100000000003</v>
      </c>
      <c r="R54" s="12">
        <f>Q58-Q54</f>
        <v>3.3575000000000021E-2</v>
      </c>
      <c r="S54" s="12">
        <f>Q60-Q54</f>
        <v>6.1334999999999917E-2</v>
      </c>
      <c r="T54" s="12">
        <f>Q61-Q54</f>
        <v>4.043999999999992E-2</v>
      </c>
      <c r="U54" s="12"/>
    </row>
    <row r="55" spans="1:21" x14ac:dyDescent="0.25">
      <c r="A55" s="18"/>
      <c r="E55" s="7" t="s">
        <v>0</v>
      </c>
      <c r="F55" s="15" t="s">
        <v>20</v>
      </c>
      <c r="G55" s="15">
        <f>AVERAGE(G51:G54)</f>
        <v>0.26786433333333337</v>
      </c>
      <c r="H55" s="15">
        <f>AVERAGE(H51:H54)</f>
        <v>0.13399033333333332</v>
      </c>
      <c r="I55" s="15">
        <f>AVERAGE(I51:I54)</f>
        <v>0.27176933333333336</v>
      </c>
      <c r="J55" s="15">
        <f>AVERAGE(J51:J54)</f>
        <v>9.7220666666666636E-2</v>
      </c>
      <c r="K55" s="2"/>
      <c r="L55" s="18"/>
      <c r="P55" s="7" t="s">
        <v>0</v>
      </c>
      <c r="Q55" s="15" t="s">
        <v>20</v>
      </c>
      <c r="R55" s="15">
        <f>AVERAGE(R51:R54)</f>
        <v>5.1504666666666664E-2</v>
      </c>
      <c r="S55" s="15">
        <f>AVERAGE(S51:S54)</f>
        <v>6.5304666666666636E-2</v>
      </c>
      <c r="T55" s="15">
        <f>AVERAGE(T51:T54)</f>
        <v>8.1935999999999967E-2</v>
      </c>
      <c r="U55" s="15">
        <f>AVERAGE(U51:U54)</f>
        <v>0.26980733333333334</v>
      </c>
    </row>
    <row r="56" spans="1:21" x14ac:dyDescent="0.25">
      <c r="A56" s="18"/>
      <c r="C56" t="s">
        <v>18</v>
      </c>
      <c r="D56" t="s">
        <v>6</v>
      </c>
      <c r="E56" s="5"/>
      <c r="F56" s="12">
        <v>0.57304900000000003</v>
      </c>
      <c r="G56" s="12"/>
      <c r="H56" s="12"/>
      <c r="I56" s="12">
        <f>F63-F56</f>
        <v>9.771199999999991E-2</v>
      </c>
      <c r="J56" s="12">
        <f>F64-F56</f>
        <v>5.4950999999999972E-2</v>
      </c>
      <c r="K56" s="2"/>
      <c r="L56" s="18"/>
      <c r="N56" t="s">
        <v>18</v>
      </c>
      <c r="O56" t="s">
        <v>6</v>
      </c>
      <c r="P56" s="5"/>
      <c r="Q56" s="12">
        <v>0.26419599999999999</v>
      </c>
      <c r="R56" s="12"/>
      <c r="S56" s="12"/>
      <c r="T56" s="12">
        <f>Q63-Q56</f>
        <v>6.1844999999999983E-2</v>
      </c>
      <c r="U56" s="12">
        <f>Q64-Q56</f>
        <v>0.23848499999999995</v>
      </c>
    </row>
    <row r="57" spans="1:21" x14ac:dyDescent="0.25">
      <c r="A57" s="18"/>
      <c r="C57" t="s">
        <v>18</v>
      </c>
      <c r="D57" t="s">
        <v>7</v>
      </c>
      <c r="E57" s="5"/>
      <c r="F57" s="12">
        <v>0.65448100000000009</v>
      </c>
      <c r="G57" s="12"/>
      <c r="H57" s="12">
        <f>F63-F57</f>
        <v>1.627999999999985E-2</v>
      </c>
      <c r="I57" s="12"/>
      <c r="J57" s="12">
        <f>F65-F57</f>
        <v>3.0518999999999963E-2</v>
      </c>
      <c r="K57" s="2"/>
      <c r="L57" s="18"/>
      <c r="N57" t="s">
        <v>18</v>
      </c>
      <c r="O57" t="s">
        <v>7</v>
      </c>
      <c r="P57" s="5"/>
      <c r="Q57" s="12">
        <v>0.32148899999999997</v>
      </c>
      <c r="R57" s="12"/>
      <c r="S57" s="12">
        <f>Q63-Q57</f>
        <v>4.5520000000000005E-3</v>
      </c>
      <c r="T57" s="12"/>
      <c r="U57" s="12">
        <f>Q65-Q57</f>
        <v>0.17835999999999996</v>
      </c>
    </row>
    <row r="58" spans="1:21" x14ac:dyDescent="0.25">
      <c r="A58" s="18"/>
      <c r="C58" t="s">
        <v>18</v>
      </c>
      <c r="D58" t="s">
        <v>21</v>
      </c>
      <c r="E58" s="5"/>
      <c r="F58" s="12">
        <v>0.46500000000000002</v>
      </c>
      <c r="G58" s="12"/>
      <c r="H58" s="12">
        <f>F64-F58</f>
        <v>0.16299999999999998</v>
      </c>
      <c r="I58" s="12">
        <f>F65-F58</f>
        <v>0.22000000000000003</v>
      </c>
      <c r="J58" s="12"/>
      <c r="K58" s="2"/>
      <c r="L58" s="18"/>
      <c r="N58" t="s">
        <v>18</v>
      </c>
      <c r="O58" t="s">
        <v>21</v>
      </c>
      <c r="P58" s="5"/>
      <c r="Q58" s="12">
        <v>0.46785600000000005</v>
      </c>
      <c r="R58" s="12"/>
      <c r="S58" s="12">
        <f>Q64-Q58</f>
        <v>3.4824999999999884E-2</v>
      </c>
      <c r="T58" s="12">
        <f>Q65-Q58</f>
        <v>3.1992999999999883E-2</v>
      </c>
      <c r="U58" s="12"/>
    </row>
    <row r="59" spans="1:21" x14ac:dyDescent="0.25">
      <c r="A59" s="18"/>
      <c r="C59" t="s">
        <v>6</v>
      </c>
      <c r="D59" t="s">
        <v>7</v>
      </c>
      <c r="E59" s="5"/>
      <c r="F59" s="12">
        <v>0.43824400000000002</v>
      </c>
      <c r="G59" s="12">
        <f>F63-F59</f>
        <v>0.23251699999999992</v>
      </c>
      <c r="H59" s="12"/>
      <c r="I59" s="12"/>
      <c r="J59" s="12">
        <f>F66-F59</f>
        <v>3.7755999999999956E-2</v>
      </c>
      <c r="K59" s="2"/>
      <c r="L59" s="18"/>
      <c r="N59" t="s">
        <v>6</v>
      </c>
      <c r="O59" t="s">
        <v>7</v>
      </c>
      <c r="P59" s="5"/>
      <c r="Q59" s="12">
        <v>0.27352900000000002</v>
      </c>
      <c r="R59" s="12">
        <f>Q63-Q59</f>
        <v>5.2511999999999948E-2</v>
      </c>
      <c r="S59" s="12"/>
      <c r="T59" s="12"/>
      <c r="U59" s="12">
        <f>Q66-Q59</f>
        <v>0.22490699999999991</v>
      </c>
    </row>
    <row r="60" spans="1:21" x14ac:dyDescent="0.25">
      <c r="A60" s="18"/>
      <c r="C60" t="s">
        <v>6</v>
      </c>
      <c r="D60" t="s">
        <v>21</v>
      </c>
      <c r="E60" s="5"/>
      <c r="F60" s="12">
        <v>0.33500000000000002</v>
      </c>
      <c r="G60" s="12">
        <f>F64-F60</f>
        <v>0.29299999999999998</v>
      </c>
      <c r="H60" s="12"/>
      <c r="I60" s="12">
        <f>F66-F60</f>
        <v>0.14099999999999996</v>
      </c>
      <c r="J60" s="12"/>
      <c r="K60" s="2"/>
      <c r="L60" s="18"/>
      <c r="N60" t="s">
        <v>6</v>
      </c>
      <c r="O60" t="s">
        <v>21</v>
      </c>
      <c r="P60" s="5"/>
      <c r="Q60" s="12">
        <v>0.49561599999999995</v>
      </c>
      <c r="R60" s="12">
        <f>Q64-Q60</f>
        <v>7.064999999999988E-3</v>
      </c>
      <c r="S60" s="12"/>
      <c r="T60" s="12">
        <f>Q66-Q60</f>
        <v>2.8199999999999892E-3</v>
      </c>
      <c r="U60" s="12"/>
    </row>
    <row r="61" spans="1:21" x14ac:dyDescent="0.25">
      <c r="A61" s="18"/>
      <c r="C61" t="s">
        <v>7</v>
      </c>
      <c r="D61" t="s">
        <v>21</v>
      </c>
      <c r="E61" s="5"/>
      <c r="F61" s="12">
        <v>0.47599999999999998</v>
      </c>
      <c r="G61" s="12">
        <f>F65-F61</f>
        <v>0.20900000000000007</v>
      </c>
      <c r="H61" s="12">
        <f>F66-F61</f>
        <v>0</v>
      </c>
      <c r="I61" s="12"/>
      <c r="J61" s="12"/>
      <c r="K61" s="2"/>
      <c r="L61" s="18"/>
      <c r="N61" t="s">
        <v>7</v>
      </c>
      <c r="O61" t="s">
        <v>21</v>
      </c>
      <c r="P61" s="5"/>
      <c r="Q61" s="12">
        <v>0.47472099999999995</v>
      </c>
      <c r="R61" s="12">
        <f>Q65-Q61</f>
        <v>2.5127999999999984E-2</v>
      </c>
      <c r="S61" s="12">
        <f>Q66-Q61</f>
        <v>2.3714999999999986E-2</v>
      </c>
      <c r="T61" s="12"/>
      <c r="U61" s="12"/>
    </row>
    <row r="62" spans="1:21" x14ac:dyDescent="0.25">
      <c r="A62" s="18"/>
      <c r="E62" s="7" t="s">
        <v>2</v>
      </c>
      <c r="F62" s="15" t="s">
        <v>20</v>
      </c>
      <c r="G62" s="15">
        <f>AVERAGE(G58:G61)</f>
        <v>0.244839</v>
      </c>
      <c r="H62" s="15">
        <f>AVERAGE(H58:H61)</f>
        <v>8.1499999999999989E-2</v>
      </c>
      <c r="I62" s="15">
        <f>AVERAGE(I58:I61)</f>
        <v>0.18049999999999999</v>
      </c>
      <c r="J62" s="15">
        <f>AVERAGE(J58:J61)</f>
        <v>3.7755999999999956E-2</v>
      </c>
      <c r="K62" s="2"/>
      <c r="L62" s="18"/>
      <c r="P62" s="7" t="s">
        <v>2</v>
      </c>
      <c r="Q62" s="15" t="s">
        <v>20</v>
      </c>
      <c r="R62" s="15">
        <f>AVERAGE(R58:R61)</f>
        <v>2.8234999999999972E-2</v>
      </c>
      <c r="S62" s="15">
        <f>AVERAGE(S58:S61)</f>
        <v>2.9269999999999935E-2</v>
      </c>
      <c r="T62" s="15">
        <f>AVERAGE(T58:T61)</f>
        <v>1.7406499999999936E-2</v>
      </c>
      <c r="U62" s="15">
        <f>AVERAGE(U58:U61)</f>
        <v>0.22490699999999991</v>
      </c>
    </row>
    <row r="63" spans="1:21" x14ac:dyDescent="0.25">
      <c r="A63" s="18"/>
      <c r="B63" t="s">
        <v>18</v>
      </c>
      <c r="C63" t="s">
        <v>6</v>
      </c>
      <c r="D63" t="s">
        <v>7</v>
      </c>
      <c r="E63" s="5"/>
      <c r="F63" s="12">
        <v>0.67076099999999994</v>
      </c>
      <c r="G63" s="12"/>
      <c r="H63" s="12"/>
      <c r="I63" s="12"/>
      <c r="J63" s="12">
        <f>F68-F63</f>
        <v>2.7239000000000013E-2</v>
      </c>
      <c r="K63" s="2"/>
      <c r="L63" s="18"/>
      <c r="M63" t="s">
        <v>18</v>
      </c>
      <c r="N63" t="s">
        <v>6</v>
      </c>
      <c r="O63" t="s">
        <v>7</v>
      </c>
      <c r="P63" s="5"/>
      <c r="Q63" s="12">
        <v>0.32604099999999997</v>
      </c>
      <c r="R63" s="12"/>
      <c r="S63" s="12"/>
      <c r="T63" s="12"/>
      <c r="U63" s="12">
        <f>Q68-Q63</f>
        <v>0.18232799999999999</v>
      </c>
    </row>
    <row r="64" spans="1:21" x14ac:dyDescent="0.25">
      <c r="A64" s="18"/>
      <c r="B64" t="s">
        <v>18</v>
      </c>
      <c r="C64" t="s">
        <v>6</v>
      </c>
      <c r="D64" t="s">
        <v>21</v>
      </c>
      <c r="E64" s="5"/>
      <c r="F64" s="12">
        <v>0.628</v>
      </c>
      <c r="G64" s="12"/>
      <c r="H64" s="12"/>
      <c r="I64" s="12">
        <f>F68-F64</f>
        <v>6.9999999999999951E-2</v>
      </c>
      <c r="J64" s="12"/>
      <c r="K64" s="2"/>
      <c r="L64" s="18"/>
      <c r="M64" t="s">
        <v>18</v>
      </c>
      <c r="N64" t="s">
        <v>6</v>
      </c>
      <c r="O64" t="s">
        <v>21</v>
      </c>
      <c r="P64" s="5"/>
      <c r="Q64" s="12">
        <v>0.50268099999999993</v>
      </c>
      <c r="R64" s="12"/>
      <c r="S64" s="12"/>
      <c r="T64" s="12">
        <f>Q68-Q64</f>
        <v>5.6880000000000264E-3</v>
      </c>
      <c r="U64" s="12"/>
    </row>
    <row r="65" spans="1:21" x14ac:dyDescent="0.25">
      <c r="A65" s="18"/>
      <c r="B65" t="s">
        <v>18</v>
      </c>
      <c r="C65" t="s">
        <v>7</v>
      </c>
      <c r="D65" t="s">
        <v>21</v>
      </c>
      <c r="E65" s="5"/>
      <c r="F65" s="12">
        <v>0.68500000000000005</v>
      </c>
      <c r="G65" s="12"/>
      <c r="H65" s="12">
        <f>F68-F65</f>
        <v>1.2999999999999901E-2</v>
      </c>
      <c r="I65" s="12"/>
      <c r="J65" s="12"/>
      <c r="K65" s="2"/>
      <c r="L65" s="18"/>
      <c r="M65" t="s">
        <v>18</v>
      </c>
      <c r="N65" t="s">
        <v>7</v>
      </c>
      <c r="O65" t="s">
        <v>21</v>
      </c>
      <c r="P65" s="5"/>
      <c r="Q65" s="12">
        <v>0.49984899999999993</v>
      </c>
      <c r="R65" s="12"/>
      <c r="S65" s="12">
        <f>Q68-Q65</f>
        <v>8.5200000000000276E-3</v>
      </c>
      <c r="T65" s="12"/>
      <c r="U65" s="12"/>
    </row>
    <row r="66" spans="1:21" x14ac:dyDescent="0.25">
      <c r="A66" s="18"/>
      <c r="B66" t="s">
        <v>6</v>
      </c>
      <c r="C66" t="s">
        <v>7</v>
      </c>
      <c r="D66" t="s">
        <v>21</v>
      </c>
      <c r="E66" s="5"/>
      <c r="F66" s="12">
        <v>0.47599999999999998</v>
      </c>
      <c r="G66" s="12">
        <f>F68-F66</f>
        <v>0.22199999999999998</v>
      </c>
      <c r="H66" s="12"/>
      <c r="I66" s="12"/>
      <c r="J66" s="12"/>
      <c r="K66" s="2"/>
      <c r="L66" s="18"/>
      <c r="M66" t="s">
        <v>6</v>
      </c>
      <c r="N66" t="s">
        <v>7</v>
      </c>
      <c r="O66" t="s">
        <v>21</v>
      </c>
      <c r="P66" s="5"/>
      <c r="Q66" s="12">
        <v>0.49843599999999993</v>
      </c>
      <c r="R66" s="12">
        <f>Q68-Q66</f>
        <v>9.9330000000000251E-3</v>
      </c>
      <c r="S66" s="12"/>
      <c r="T66" s="12"/>
      <c r="U66" s="12"/>
    </row>
    <row r="67" spans="1:21" x14ac:dyDescent="0.25">
      <c r="A67" s="18"/>
      <c r="E67" s="7" t="s">
        <v>3</v>
      </c>
      <c r="F67" s="15" t="s">
        <v>20</v>
      </c>
      <c r="G67" s="15">
        <f>AVERAGE(G63:G66)</f>
        <v>0.22199999999999998</v>
      </c>
      <c r="H67" s="15">
        <f>AVERAGE(H63:H66)</f>
        <v>1.2999999999999901E-2</v>
      </c>
      <c r="I67" s="15">
        <f>AVERAGE(I63:I66)</f>
        <v>6.9999999999999951E-2</v>
      </c>
      <c r="J67" s="15">
        <f>AVERAGE(J63:J66)</f>
        <v>2.7239000000000013E-2</v>
      </c>
      <c r="K67" s="2"/>
      <c r="L67" s="18"/>
      <c r="P67" s="7" t="s">
        <v>3</v>
      </c>
      <c r="Q67" s="15" t="s">
        <v>20</v>
      </c>
      <c r="R67" s="15">
        <f>AVERAGE(R63:R66)</f>
        <v>9.9330000000000251E-3</v>
      </c>
      <c r="S67" s="15">
        <f>AVERAGE(S63:S66)</f>
        <v>8.5200000000000276E-3</v>
      </c>
      <c r="T67" s="15">
        <f>AVERAGE(T63:T66)</f>
        <v>5.6880000000000264E-3</v>
      </c>
      <c r="U67" s="15">
        <f>AVERAGE(U63:U66)</f>
        <v>0.18232799999999999</v>
      </c>
    </row>
    <row r="68" spans="1:21" x14ac:dyDescent="0.25">
      <c r="A68" s="18"/>
      <c r="B68" t="s">
        <v>18</v>
      </c>
      <c r="C68" t="s">
        <v>6</v>
      </c>
      <c r="D68" t="s">
        <v>7</v>
      </c>
      <c r="E68" s="5" t="s">
        <v>21</v>
      </c>
      <c r="F68" s="12">
        <v>0.69799999999999995</v>
      </c>
      <c r="G68" s="12"/>
      <c r="H68" s="12"/>
      <c r="I68" s="12"/>
      <c r="J68" s="12"/>
      <c r="K68" s="2"/>
      <c r="L68" s="18"/>
      <c r="M68" t="s">
        <v>18</v>
      </c>
      <c r="N68" t="s">
        <v>6</v>
      </c>
      <c r="O68" t="s">
        <v>7</v>
      </c>
      <c r="P68" s="5" t="s">
        <v>21</v>
      </c>
      <c r="Q68" s="12">
        <v>0.50836899999999996</v>
      </c>
      <c r="R68" s="12"/>
      <c r="S68" s="12"/>
      <c r="T68" s="12"/>
      <c r="U68" s="12"/>
    </row>
    <row r="69" spans="1:21" x14ac:dyDescent="0.25">
      <c r="A69" s="18"/>
      <c r="E69" s="7" t="s">
        <v>5</v>
      </c>
      <c r="F69" s="15"/>
      <c r="G69" s="15">
        <f>AVERAGE(G50,G55,G62,G67)</f>
        <v>0.25902608333333332</v>
      </c>
      <c r="H69" s="15">
        <f>AVERAGE(H50,H55,H62,H67)</f>
        <v>0.11862658333333331</v>
      </c>
      <c r="I69" s="15">
        <f>AVERAGE(I50,I55,I62,I67)</f>
        <v>0.23979758333333334</v>
      </c>
      <c r="J69" s="15">
        <f>AVERAGE(J50,J55,J62,J67)</f>
        <v>9.2053916666666652E-2</v>
      </c>
      <c r="L69" s="18"/>
      <c r="P69" s="7" t="s">
        <v>5</v>
      </c>
      <c r="Q69" s="15"/>
      <c r="R69" s="15">
        <f>AVERAGE(R50,R55,R62,R67)</f>
        <v>6.3424416666666678E-2</v>
      </c>
      <c r="S69" s="15">
        <f>AVERAGE(S50,S55,S62,S67)</f>
        <v>8.2179916666666644E-2</v>
      </c>
      <c r="T69" s="15">
        <f>AVERAGE(T50,T55,T62,T67)</f>
        <v>8.6037874999999986E-2</v>
      </c>
      <c r="U69" s="15">
        <f>AVERAGE(U50,U55,U62,U67)</f>
        <v>0.27783083333333336</v>
      </c>
    </row>
    <row r="73" spans="1:21" x14ac:dyDescent="0.25">
      <c r="F73" s="5"/>
      <c r="G73" s="5"/>
      <c r="H73" s="5"/>
      <c r="I73" s="5"/>
      <c r="J73" s="5"/>
    </row>
    <row r="74" spans="1:21" x14ac:dyDescent="0.25">
      <c r="E74" s="23" t="s">
        <v>16</v>
      </c>
      <c r="F74" s="5"/>
      <c r="G74" s="6" t="s">
        <v>18</v>
      </c>
      <c r="H74" s="6" t="s">
        <v>6</v>
      </c>
      <c r="I74" s="6" t="s">
        <v>7</v>
      </c>
      <c r="J74" s="6" t="s">
        <v>21</v>
      </c>
      <c r="P74" s="23" t="s">
        <v>16</v>
      </c>
      <c r="Q74" s="5"/>
      <c r="R74" s="6" t="s">
        <v>18</v>
      </c>
      <c r="S74" s="6" t="s">
        <v>6</v>
      </c>
      <c r="T74" s="6" t="s">
        <v>7</v>
      </c>
      <c r="U74" s="6" t="s">
        <v>21</v>
      </c>
    </row>
    <row r="75" spans="1:21" x14ac:dyDescent="0.25">
      <c r="E75" s="21"/>
      <c r="F75" s="5" t="s">
        <v>13</v>
      </c>
      <c r="G75" s="12">
        <f>G22</f>
        <v>0.16275066666666665</v>
      </c>
      <c r="H75" s="12">
        <f>H22</f>
        <v>7.0420833333333335E-2</v>
      </c>
      <c r="I75" s="12">
        <f>I22</f>
        <v>0.11485241666666668</v>
      </c>
      <c r="J75" s="12">
        <f>J22</f>
        <v>3.6363416666666662E-2</v>
      </c>
      <c r="P75" s="21"/>
      <c r="Q75" s="5" t="s">
        <v>13</v>
      </c>
      <c r="R75" s="12">
        <f>R22</f>
        <v>0.19311533333333339</v>
      </c>
      <c r="S75" s="12">
        <f>S22</f>
        <v>0.17987920833333335</v>
      </c>
      <c r="T75" s="12">
        <f>T22</f>
        <v>0.12373270833333333</v>
      </c>
      <c r="U75" s="12">
        <f>U22</f>
        <v>0.31081816666666662</v>
      </c>
    </row>
    <row r="76" spans="1:21" x14ac:dyDescent="0.25">
      <c r="E76" s="21"/>
      <c r="F76" s="5" t="s">
        <v>14</v>
      </c>
      <c r="G76" s="12">
        <f>G46</f>
        <v>0.22806483449423859</v>
      </c>
      <c r="H76" s="12">
        <f>H46</f>
        <v>0.11624850116090524</v>
      </c>
      <c r="I76" s="12">
        <f>I46</f>
        <v>0.22128050116090528</v>
      </c>
      <c r="J76" s="12">
        <f>J46</f>
        <v>9.5614163183950912E-2</v>
      </c>
      <c r="P76" s="21"/>
      <c r="Q76" s="5" t="s">
        <v>14</v>
      </c>
      <c r="R76" s="12">
        <f>R46</f>
        <v>0.14426908333333327</v>
      </c>
      <c r="S76" s="12">
        <f>S46</f>
        <v>0.12738737500000002</v>
      </c>
      <c r="T76" s="12">
        <f>T46</f>
        <v>0.10546700000000001</v>
      </c>
      <c r="U76" s="12">
        <f>U46</f>
        <v>0.3316967500000001</v>
      </c>
    </row>
    <row r="77" spans="1:21" x14ac:dyDescent="0.25">
      <c r="E77" s="21"/>
      <c r="F77" s="5" t="s">
        <v>15</v>
      </c>
      <c r="G77" s="12">
        <f>G69</f>
        <v>0.25902608333333332</v>
      </c>
      <c r="H77" s="12">
        <f>H69</f>
        <v>0.11862658333333331</v>
      </c>
      <c r="I77" s="12">
        <f>I69</f>
        <v>0.23979758333333334</v>
      </c>
      <c r="J77" s="12">
        <f>J69</f>
        <v>9.2053916666666652E-2</v>
      </c>
      <c r="P77" s="21"/>
      <c r="Q77" s="5" t="s">
        <v>15</v>
      </c>
      <c r="R77" s="12">
        <f>R69</f>
        <v>6.3424416666666678E-2</v>
      </c>
      <c r="S77" s="12">
        <f>S69</f>
        <v>8.2179916666666644E-2</v>
      </c>
      <c r="T77" s="12">
        <f>T69</f>
        <v>8.6037874999999986E-2</v>
      </c>
      <c r="U77" s="12">
        <f>U69</f>
        <v>0.27783083333333336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7E2A-C8F5-4106-B6B9-69A3F9EF8124}">
  <sheetPr>
    <tabColor theme="8"/>
  </sheetPr>
  <dimension ref="A1:U77"/>
  <sheetViews>
    <sheetView workbookViewId="0"/>
  </sheetViews>
  <sheetFormatPr defaultRowHeight="15" x14ac:dyDescent="0.25"/>
  <cols>
    <col min="1" max="1" width="14.7109375" bestFit="1" customWidth="1"/>
    <col min="5" max="11" width="9.140625" style="3"/>
    <col min="12" max="12" width="14.7109375" bestFit="1" customWidth="1"/>
    <col min="13" max="14" width="9.140625" customWidth="1"/>
  </cols>
  <sheetData>
    <row r="1" spans="1:21" x14ac:dyDescent="0.25">
      <c r="A1" s="25"/>
      <c r="B1" s="26" t="s">
        <v>24</v>
      </c>
      <c r="C1" s="25"/>
      <c r="D1" s="25"/>
      <c r="E1" s="27"/>
      <c r="F1" s="27"/>
      <c r="G1" s="27"/>
      <c r="H1" s="27"/>
      <c r="I1" s="27"/>
      <c r="J1" s="27"/>
      <c r="K1"/>
      <c r="L1" s="25"/>
      <c r="M1" s="26" t="s">
        <v>25</v>
      </c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29" t="s">
        <v>26</v>
      </c>
      <c r="E2" s="5"/>
      <c r="F2" s="6" t="s">
        <v>4</v>
      </c>
      <c r="G2" s="6" t="s">
        <v>18</v>
      </c>
      <c r="H2" s="6" t="s">
        <v>6</v>
      </c>
      <c r="I2" s="6" t="s">
        <v>7</v>
      </c>
      <c r="J2" s="6" t="s">
        <v>21</v>
      </c>
      <c r="K2" s="6"/>
      <c r="L2" s="29" t="s">
        <v>26</v>
      </c>
      <c r="P2" s="5"/>
      <c r="Q2" s="6" t="s">
        <v>4</v>
      </c>
      <c r="R2" s="6" t="s">
        <v>18</v>
      </c>
      <c r="S2" s="6" t="s">
        <v>6</v>
      </c>
      <c r="T2" s="6" t="s">
        <v>7</v>
      </c>
      <c r="U2" s="6" t="s">
        <v>21</v>
      </c>
    </row>
    <row r="3" spans="1:21" x14ac:dyDescent="0.25">
      <c r="A3" s="29"/>
      <c r="E3" s="7" t="s">
        <v>1</v>
      </c>
      <c r="F3" s="8"/>
      <c r="G3" s="8">
        <f>F4</f>
        <v>0.26625599999999999</v>
      </c>
      <c r="H3" s="8">
        <f>F5</f>
        <v>0.10562500000000001</v>
      </c>
      <c r="I3" s="8">
        <f>F6</f>
        <v>0.19624900000000001</v>
      </c>
      <c r="J3" s="9">
        <f>F7</f>
        <v>3.2000000000000001E-2</v>
      </c>
      <c r="K3" s="6"/>
      <c r="L3" s="29"/>
      <c r="P3" s="7" t="s">
        <v>1</v>
      </c>
      <c r="Q3" s="8"/>
      <c r="R3" s="8">
        <f>Q4</f>
        <v>0.55353600000000003</v>
      </c>
      <c r="S3" s="8">
        <f>Q5</f>
        <v>0.37332099999999996</v>
      </c>
      <c r="T3" s="8">
        <f>Q6</f>
        <v>0.140625</v>
      </c>
      <c r="U3" s="9">
        <f>Q7</f>
        <v>0.45427600000000007</v>
      </c>
    </row>
    <row r="4" spans="1:21" x14ac:dyDescent="0.25">
      <c r="A4" s="29"/>
      <c r="D4" t="s">
        <v>18</v>
      </c>
      <c r="E4" s="5"/>
      <c r="F4" s="5">
        <v>0.26625599999999999</v>
      </c>
      <c r="G4" s="5"/>
      <c r="H4" s="5">
        <f>F9-F4</f>
        <v>0.12187300000000001</v>
      </c>
      <c r="I4" s="5">
        <f>F10-F4</f>
        <v>0.142065</v>
      </c>
      <c r="J4" s="5">
        <f>F11-F4</f>
        <v>1.6743999999999981E-2</v>
      </c>
      <c r="K4" s="5"/>
      <c r="L4" s="29"/>
      <c r="O4" t="s">
        <v>18</v>
      </c>
      <c r="P4" s="5"/>
      <c r="Q4" s="5">
        <v>0.55353600000000003</v>
      </c>
      <c r="R4" s="5"/>
      <c r="S4" s="5">
        <f>Q9-Q4</f>
        <v>7.8489000000000031E-2</v>
      </c>
      <c r="T4" s="5">
        <f>Q10-Q4</f>
        <v>3.4753000000000034E-2</v>
      </c>
      <c r="U4" s="5">
        <f>Q11-Q4</f>
        <v>0.19295999999999991</v>
      </c>
    </row>
    <row r="5" spans="1:21" x14ac:dyDescent="0.25">
      <c r="A5" s="29"/>
      <c r="D5" t="s">
        <v>6</v>
      </c>
      <c r="E5" s="5"/>
      <c r="F5" s="5">
        <v>0.10562500000000001</v>
      </c>
      <c r="G5" s="5">
        <f>F9-F5</f>
        <v>0.28250399999999998</v>
      </c>
      <c r="H5" s="5"/>
      <c r="I5" s="5">
        <f>F12-F5</f>
        <v>9.0623999999999996E-2</v>
      </c>
      <c r="J5" s="5">
        <f>F13-F5</f>
        <v>5.3749999999999909E-3</v>
      </c>
      <c r="K5" s="5"/>
      <c r="L5" s="29"/>
      <c r="O5" t="s">
        <v>6</v>
      </c>
      <c r="P5" s="5"/>
      <c r="Q5" s="5">
        <v>0.37332099999999996</v>
      </c>
      <c r="R5" s="5">
        <f>Q9-Q5</f>
        <v>0.2587040000000001</v>
      </c>
      <c r="S5" s="5"/>
      <c r="T5" s="5">
        <f>Q12-Q5</f>
        <v>6.1350000000000571E-3</v>
      </c>
      <c r="U5" s="5">
        <f>Q13-Q5</f>
        <v>0.23196300000000009</v>
      </c>
    </row>
    <row r="6" spans="1:21" x14ac:dyDescent="0.25">
      <c r="A6" s="29"/>
      <c r="D6" t="s">
        <v>7</v>
      </c>
      <c r="E6" s="5"/>
      <c r="F6" s="5">
        <v>0.19624900000000001</v>
      </c>
      <c r="G6" s="5">
        <f>F10-F6</f>
        <v>0.21207199999999998</v>
      </c>
      <c r="H6" s="5">
        <f>F12-F6</f>
        <v>0</v>
      </c>
      <c r="I6" s="5"/>
      <c r="J6" s="5">
        <f>F14-F6</f>
        <v>-2.4899999999999922E-4</v>
      </c>
      <c r="K6" s="5"/>
      <c r="L6" s="29"/>
      <c r="O6" t="s">
        <v>7</v>
      </c>
      <c r="P6" s="5"/>
      <c r="Q6" s="5">
        <v>0.140625</v>
      </c>
      <c r="R6" s="5">
        <f>Q10-Q6</f>
        <v>0.44766400000000006</v>
      </c>
      <c r="S6" s="5">
        <f>Q12-Q6</f>
        <v>0.23883100000000002</v>
      </c>
      <c r="T6" s="5"/>
      <c r="U6" s="5">
        <f>Q14-Q6</f>
        <v>0.31770400000000004</v>
      </c>
    </row>
    <row r="7" spans="1:21" x14ac:dyDescent="0.25">
      <c r="A7" s="29"/>
      <c r="D7" t="s">
        <v>21</v>
      </c>
      <c r="E7" s="5"/>
      <c r="F7" s="5">
        <v>3.2000000000000001E-2</v>
      </c>
      <c r="G7" s="5">
        <f>F11-F7</f>
        <v>0.251</v>
      </c>
      <c r="H7" s="5">
        <f>F13-F7</f>
        <v>7.9000000000000001E-2</v>
      </c>
      <c r="I7" s="5">
        <f>F14-F7</f>
        <v>0.16400000000000001</v>
      </c>
      <c r="J7" s="5"/>
      <c r="K7" s="5"/>
      <c r="L7" s="29"/>
      <c r="O7" t="s">
        <v>21</v>
      </c>
      <c r="P7" s="5"/>
      <c r="Q7" s="5">
        <v>0.45427600000000007</v>
      </c>
      <c r="R7" s="5">
        <f>Q11-Q7</f>
        <v>0.29221999999999987</v>
      </c>
      <c r="S7" s="5">
        <f>Q13-Q7</f>
        <v>0.15100799999999998</v>
      </c>
      <c r="T7" s="5">
        <f>Q14-Q7</f>
        <v>4.0529999999999733E-3</v>
      </c>
      <c r="U7" s="5"/>
    </row>
    <row r="8" spans="1:21" x14ac:dyDescent="0.25">
      <c r="A8" s="29"/>
      <c r="E8" s="7" t="s">
        <v>0</v>
      </c>
      <c r="F8" s="8" t="s">
        <v>20</v>
      </c>
      <c r="G8" s="10">
        <f>AVERAGE(G4:G7)</f>
        <v>0.24852533333333335</v>
      </c>
      <c r="H8" s="10">
        <f>AVERAGE(H4:H7)</f>
        <v>6.6957666666666679E-2</v>
      </c>
      <c r="I8" s="10">
        <f>AVERAGE(I4:I7)</f>
        <v>0.13222966666666666</v>
      </c>
      <c r="J8" s="10">
        <f>AVERAGE(J4:J7)</f>
        <v>7.2899999999999909E-3</v>
      </c>
      <c r="K8" s="24"/>
      <c r="L8" s="29"/>
      <c r="P8" s="7" t="s">
        <v>0</v>
      </c>
      <c r="Q8" s="8" t="s">
        <v>20</v>
      </c>
      <c r="R8" s="10">
        <f>AVERAGE(R4:R7)</f>
        <v>0.3328626666666667</v>
      </c>
      <c r="S8" s="10">
        <f>AVERAGE(S4:S7)</f>
        <v>0.15610933333333335</v>
      </c>
      <c r="T8" s="10">
        <f>AVERAGE(T4:T7)</f>
        <v>1.4980333333333354E-2</v>
      </c>
      <c r="U8" s="10">
        <f>AVERAGE(U4:U7)</f>
        <v>0.24754233333333334</v>
      </c>
    </row>
    <row r="9" spans="1:21" x14ac:dyDescent="0.25">
      <c r="A9" s="29"/>
      <c r="C9" t="s">
        <v>18</v>
      </c>
      <c r="D9" t="s">
        <v>6</v>
      </c>
      <c r="E9" s="5"/>
      <c r="F9" s="5">
        <v>0.388129</v>
      </c>
      <c r="G9" s="5"/>
      <c r="H9" s="5"/>
      <c r="I9" s="5">
        <f>F16-F9</f>
        <v>3.1774999999999998E-2</v>
      </c>
      <c r="J9" s="5">
        <f>F17-F9</f>
        <v>-1.2899999999999023E-4</v>
      </c>
      <c r="K9" s="5"/>
      <c r="L9" s="29"/>
      <c r="N9" t="s">
        <v>18</v>
      </c>
      <c r="O9" t="s">
        <v>6</v>
      </c>
      <c r="P9" s="5"/>
      <c r="Q9" s="5">
        <v>0.63202500000000006</v>
      </c>
      <c r="R9" s="5"/>
      <c r="S9" s="5"/>
      <c r="T9" s="5">
        <f>Q16-Q9</f>
        <v>0</v>
      </c>
      <c r="U9" s="5">
        <f>Q17-Q9</f>
        <v>0.145899</v>
      </c>
    </row>
    <row r="10" spans="1:21" x14ac:dyDescent="0.25">
      <c r="A10" s="29"/>
      <c r="C10" t="s">
        <v>18</v>
      </c>
      <c r="D10" t="s">
        <v>7</v>
      </c>
      <c r="E10" s="5"/>
      <c r="F10" s="5">
        <v>0.40832099999999999</v>
      </c>
      <c r="G10" s="5"/>
      <c r="H10" s="5">
        <f>F16-F10</f>
        <v>1.158300000000001E-2</v>
      </c>
      <c r="I10" s="5"/>
      <c r="J10" s="5">
        <f>F18-F10</f>
        <v>6.7899999999998517E-4</v>
      </c>
      <c r="K10" s="5"/>
      <c r="L10" s="29"/>
      <c r="N10" t="s">
        <v>18</v>
      </c>
      <c r="O10" t="s">
        <v>7</v>
      </c>
      <c r="P10" s="5"/>
      <c r="Q10" s="5">
        <v>0.58828900000000006</v>
      </c>
      <c r="R10" s="5"/>
      <c r="S10" s="5">
        <f>Q16-Q10</f>
        <v>4.3735999999999997E-2</v>
      </c>
      <c r="T10" s="5"/>
      <c r="U10" s="5">
        <f>Q18-Q10</f>
        <v>0.15820699999999988</v>
      </c>
    </row>
    <row r="11" spans="1:21" x14ac:dyDescent="0.25">
      <c r="A11" s="29"/>
      <c r="C11" t="s">
        <v>18</v>
      </c>
      <c r="D11" t="s">
        <v>21</v>
      </c>
      <c r="E11" s="5"/>
      <c r="F11" s="5">
        <v>0.28299999999999997</v>
      </c>
      <c r="G11" s="5"/>
      <c r="H11" s="5">
        <f>F17-F11</f>
        <v>0.10500000000000004</v>
      </c>
      <c r="I11" s="5">
        <f>F18-F11</f>
        <v>0.126</v>
      </c>
      <c r="J11" s="5"/>
      <c r="K11" s="5"/>
      <c r="L11" s="29"/>
      <c r="N11" t="s">
        <v>18</v>
      </c>
      <c r="O11" t="s">
        <v>21</v>
      </c>
      <c r="P11" s="5"/>
      <c r="Q11" s="5">
        <v>0.74649599999999994</v>
      </c>
      <c r="R11" s="5"/>
      <c r="S11" s="5">
        <f>Q17-Q11</f>
        <v>3.1428000000000123E-2</v>
      </c>
      <c r="T11" s="5">
        <f>Q18-Q11</f>
        <v>0</v>
      </c>
      <c r="U11" s="5"/>
    </row>
    <row r="12" spans="1:21" x14ac:dyDescent="0.25">
      <c r="A12" s="29"/>
      <c r="C12" t="s">
        <v>6</v>
      </c>
      <c r="D12" t="s">
        <v>7</v>
      </c>
      <c r="E12" s="5"/>
      <c r="F12" s="5">
        <v>0.19624900000000001</v>
      </c>
      <c r="G12" s="5">
        <f>F16-F12</f>
        <v>0.22365499999999999</v>
      </c>
      <c r="H12" s="5"/>
      <c r="I12" s="5"/>
      <c r="J12" s="5">
        <f>F19-F12</f>
        <v>-2.4899999999999922E-4</v>
      </c>
      <c r="K12" s="5"/>
      <c r="L12" s="29"/>
      <c r="N12" t="s">
        <v>6</v>
      </c>
      <c r="O12" t="s">
        <v>7</v>
      </c>
      <c r="P12" s="5"/>
      <c r="Q12" s="5">
        <v>0.37945600000000002</v>
      </c>
      <c r="R12" s="5">
        <f>Q16-Q12</f>
        <v>0.25256900000000004</v>
      </c>
      <c r="S12" s="5"/>
      <c r="T12" s="5"/>
      <c r="U12" s="5">
        <f>Q19-Q12</f>
        <v>0.28476899999999994</v>
      </c>
    </row>
    <row r="13" spans="1:21" x14ac:dyDescent="0.25">
      <c r="A13" s="29"/>
      <c r="C13" t="s">
        <v>6</v>
      </c>
      <c r="D13" t="s">
        <v>21</v>
      </c>
      <c r="E13" s="5"/>
      <c r="F13" s="5">
        <v>0.111</v>
      </c>
      <c r="G13" s="5">
        <f>F17-F13</f>
        <v>0.27700000000000002</v>
      </c>
      <c r="H13" s="5"/>
      <c r="I13" s="5">
        <f>F19-F13</f>
        <v>8.5000000000000006E-2</v>
      </c>
      <c r="J13" s="5"/>
      <c r="K13" s="5"/>
      <c r="L13" s="29"/>
      <c r="N13" t="s">
        <v>6</v>
      </c>
      <c r="O13" t="s">
        <v>21</v>
      </c>
      <c r="P13" s="5"/>
      <c r="Q13" s="5">
        <v>0.60528400000000004</v>
      </c>
      <c r="R13" s="5">
        <f>Q17-Q13</f>
        <v>0.17264000000000002</v>
      </c>
      <c r="S13" s="5"/>
      <c r="T13" s="5">
        <f>Q19-Q13</f>
        <v>5.894099999999991E-2</v>
      </c>
      <c r="U13" s="5"/>
    </row>
    <row r="14" spans="1:21" x14ac:dyDescent="0.25">
      <c r="A14" s="29"/>
      <c r="C14" t="s">
        <v>7</v>
      </c>
      <c r="D14" t="s">
        <v>21</v>
      </c>
      <c r="E14" s="5"/>
      <c r="F14" s="5">
        <v>0.19600000000000001</v>
      </c>
      <c r="G14" s="5">
        <f>F18-F14</f>
        <v>0.21299999999999997</v>
      </c>
      <c r="H14" s="5">
        <f>F19-F14</f>
        <v>0</v>
      </c>
      <c r="I14" s="5"/>
      <c r="J14" s="5"/>
      <c r="K14" s="5"/>
      <c r="L14" s="29"/>
      <c r="N14" t="s">
        <v>7</v>
      </c>
      <c r="O14" t="s">
        <v>21</v>
      </c>
      <c r="P14" s="5"/>
      <c r="Q14" s="5">
        <v>0.45832900000000004</v>
      </c>
      <c r="R14" s="5">
        <f>Q18-Q14</f>
        <v>0.2881669999999999</v>
      </c>
      <c r="S14" s="5">
        <f>Q19-Q14</f>
        <v>0.20589599999999991</v>
      </c>
      <c r="T14" s="5"/>
      <c r="U14" s="5"/>
    </row>
    <row r="15" spans="1:21" x14ac:dyDescent="0.25">
      <c r="A15" s="29"/>
      <c r="E15" s="7" t="s">
        <v>2</v>
      </c>
      <c r="F15" s="8" t="s">
        <v>20</v>
      </c>
      <c r="G15" s="10">
        <f>AVERAGE(G11:G14)</f>
        <v>0.23788500000000001</v>
      </c>
      <c r="H15" s="10">
        <f>AVERAGE(H11:H14)</f>
        <v>5.2500000000000019E-2</v>
      </c>
      <c r="I15" s="10">
        <f>AVERAGE(I11:I14)</f>
        <v>0.10550000000000001</v>
      </c>
      <c r="J15" s="10">
        <f>AVERAGE(J11:J14)</f>
        <v>-2.4899999999999922E-4</v>
      </c>
      <c r="K15" s="24"/>
      <c r="L15" s="29"/>
      <c r="P15" s="7" t="s">
        <v>2</v>
      </c>
      <c r="Q15" s="8" t="s">
        <v>20</v>
      </c>
      <c r="R15" s="10">
        <f>AVERAGE(R11:R14)</f>
        <v>0.237792</v>
      </c>
      <c r="S15" s="10">
        <f>AVERAGE(S11:S14)</f>
        <v>0.11866200000000002</v>
      </c>
      <c r="T15" s="10">
        <f>AVERAGE(T11:T14)</f>
        <v>2.9470499999999955E-2</v>
      </c>
      <c r="U15" s="10">
        <f>AVERAGE(U11:U14)</f>
        <v>0.28476899999999994</v>
      </c>
    </row>
    <row r="16" spans="1:21" x14ac:dyDescent="0.25">
      <c r="A16" s="29"/>
      <c r="B16" t="s">
        <v>18</v>
      </c>
      <c r="C16" t="s">
        <v>6</v>
      </c>
      <c r="D16" t="s">
        <v>7</v>
      </c>
      <c r="E16" s="5"/>
      <c r="F16" s="5">
        <v>0.419904</v>
      </c>
      <c r="G16" s="5"/>
      <c r="H16" s="5"/>
      <c r="I16" s="5"/>
      <c r="J16" s="5">
        <f>F21-F16</f>
        <v>1.0959999999999859E-3</v>
      </c>
      <c r="K16" s="5"/>
      <c r="L16" s="29"/>
      <c r="M16" t="s">
        <v>18</v>
      </c>
      <c r="N16" t="s">
        <v>6</v>
      </c>
      <c r="O16" t="s">
        <v>7</v>
      </c>
      <c r="P16" s="5"/>
      <c r="Q16" s="5">
        <v>0.63202500000000006</v>
      </c>
      <c r="R16" s="5"/>
      <c r="S16" s="5"/>
      <c r="T16" s="5"/>
      <c r="U16" s="5">
        <f>Q21-Q16</f>
        <v>0.16899999999999993</v>
      </c>
    </row>
    <row r="17" spans="1:21" x14ac:dyDescent="0.25">
      <c r="A17" s="29"/>
      <c r="B17" t="s">
        <v>18</v>
      </c>
      <c r="C17" t="s">
        <v>6</v>
      </c>
      <c r="D17" t="s">
        <v>21</v>
      </c>
      <c r="E17" s="5"/>
      <c r="F17" s="5">
        <v>0.38800000000000001</v>
      </c>
      <c r="G17" s="5"/>
      <c r="H17" s="5"/>
      <c r="I17" s="5">
        <f>F21-F17</f>
        <v>3.2999999999999974E-2</v>
      </c>
      <c r="J17" s="5"/>
      <c r="K17" s="5"/>
      <c r="L17" s="29"/>
      <c r="M17" t="s">
        <v>18</v>
      </c>
      <c r="N17" t="s">
        <v>6</v>
      </c>
      <c r="O17" t="s">
        <v>21</v>
      </c>
      <c r="P17" s="5"/>
      <c r="Q17" s="5">
        <v>0.77792400000000006</v>
      </c>
      <c r="R17" s="5"/>
      <c r="S17" s="5"/>
      <c r="T17" s="5">
        <f>Q21-Q17</f>
        <v>2.3100999999999927E-2</v>
      </c>
      <c r="U17" s="5"/>
    </row>
    <row r="18" spans="1:21" x14ac:dyDescent="0.25">
      <c r="A18" s="29"/>
      <c r="B18" t="s">
        <v>18</v>
      </c>
      <c r="C18" t="s">
        <v>7</v>
      </c>
      <c r="D18" t="s">
        <v>21</v>
      </c>
      <c r="E18" s="5"/>
      <c r="F18" s="5">
        <v>0.40899999999999997</v>
      </c>
      <c r="G18" s="5"/>
      <c r="H18" s="5">
        <f>F21-F18</f>
        <v>1.2000000000000011E-2</v>
      </c>
      <c r="I18" s="5"/>
      <c r="J18" s="5"/>
      <c r="K18" s="5"/>
      <c r="L18" s="29"/>
      <c r="M18" t="s">
        <v>18</v>
      </c>
      <c r="N18" t="s">
        <v>7</v>
      </c>
      <c r="O18" t="s">
        <v>21</v>
      </c>
      <c r="P18" s="5"/>
      <c r="Q18" s="5">
        <v>0.74649599999999994</v>
      </c>
      <c r="R18" s="5"/>
      <c r="S18" s="5">
        <f>Q21-Q18</f>
        <v>5.452900000000005E-2</v>
      </c>
      <c r="T18" s="5"/>
      <c r="U18" s="5"/>
    </row>
    <row r="19" spans="1:21" x14ac:dyDescent="0.25">
      <c r="A19" s="29"/>
      <c r="B19" t="s">
        <v>6</v>
      </c>
      <c r="C19" t="s">
        <v>7</v>
      </c>
      <c r="D19" t="s">
        <v>21</v>
      </c>
      <c r="E19" s="5"/>
      <c r="F19" s="5">
        <v>0.19600000000000001</v>
      </c>
      <c r="G19" s="5">
        <f>F21-F19</f>
        <v>0.22499999999999998</v>
      </c>
      <c r="H19" s="5"/>
      <c r="I19" s="5"/>
      <c r="J19" s="5"/>
      <c r="K19" s="5"/>
      <c r="L19" s="29"/>
      <c r="M19" t="s">
        <v>6</v>
      </c>
      <c r="N19" t="s">
        <v>7</v>
      </c>
      <c r="O19" t="s">
        <v>21</v>
      </c>
      <c r="P19" s="5"/>
      <c r="Q19" s="5">
        <v>0.66422499999999995</v>
      </c>
      <c r="R19" s="5">
        <f>Q21-Q19</f>
        <v>0.13680000000000003</v>
      </c>
      <c r="S19" s="5"/>
      <c r="T19" s="5"/>
      <c r="U19" s="5"/>
    </row>
    <row r="20" spans="1:21" x14ac:dyDescent="0.25">
      <c r="A20" s="29"/>
      <c r="E20" s="7" t="s">
        <v>3</v>
      </c>
      <c r="F20" s="8" t="s">
        <v>20</v>
      </c>
      <c r="G20" s="10">
        <f>AVERAGE(G16:G19)</f>
        <v>0.22499999999999998</v>
      </c>
      <c r="H20" s="10">
        <f>AVERAGE(H16:H19)</f>
        <v>1.2000000000000011E-2</v>
      </c>
      <c r="I20" s="10">
        <f>AVERAGE(I16:I19)</f>
        <v>3.2999999999999974E-2</v>
      </c>
      <c r="J20" s="10">
        <f>AVERAGE(J16:J19)</f>
        <v>1.0959999999999859E-3</v>
      </c>
      <c r="K20" s="24"/>
      <c r="L20" s="29"/>
      <c r="P20" s="7" t="s">
        <v>3</v>
      </c>
      <c r="Q20" s="8" t="s">
        <v>20</v>
      </c>
      <c r="R20" s="10">
        <f>AVERAGE(R16:R19)</f>
        <v>0.13680000000000003</v>
      </c>
      <c r="S20" s="10">
        <f>AVERAGE(S16:S19)</f>
        <v>5.452900000000005E-2</v>
      </c>
      <c r="T20" s="10">
        <f>AVERAGE(T16:T19)</f>
        <v>2.3100999999999927E-2</v>
      </c>
      <c r="U20" s="10">
        <f>AVERAGE(U16:U19)</f>
        <v>0.16899999999999993</v>
      </c>
    </row>
    <row r="21" spans="1:21" x14ac:dyDescent="0.25">
      <c r="A21" s="29"/>
      <c r="B21" t="s">
        <v>18</v>
      </c>
      <c r="C21" t="s">
        <v>6</v>
      </c>
      <c r="D21" t="s">
        <v>7</v>
      </c>
      <c r="E21" s="5" t="s">
        <v>21</v>
      </c>
      <c r="F21" s="5">
        <v>0.42099999999999999</v>
      </c>
      <c r="G21" s="5"/>
      <c r="H21" s="5"/>
      <c r="I21" s="5"/>
      <c r="J21" s="5"/>
      <c r="K21" s="5"/>
      <c r="L21" s="29"/>
      <c r="M21" t="s">
        <v>18</v>
      </c>
      <c r="N21" t="s">
        <v>6</v>
      </c>
      <c r="O21" t="s">
        <v>7</v>
      </c>
      <c r="P21" s="5" t="s">
        <v>21</v>
      </c>
      <c r="Q21" s="5">
        <v>0.80102499999999999</v>
      </c>
      <c r="R21" s="5"/>
      <c r="S21" s="5"/>
      <c r="T21" s="5"/>
      <c r="U21" s="5"/>
    </row>
    <row r="22" spans="1:21" x14ac:dyDescent="0.25">
      <c r="A22" s="29"/>
      <c r="E22" s="7" t="s">
        <v>5</v>
      </c>
      <c r="F22" s="8"/>
      <c r="G22" s="10">
        <f>AVERAGE(G3,G8,G15,G20)</f>
        <v>0.24441658333333333</v>
      </c>
      <c r="H22" s="10">
        <f>AVERAGE(H3,H8,H15,H20)</f>
        <v>5.927066666666668E-2</v>
      </c>
      <c r="I22" s="10">
        <f>AVERAGE(I3,I8,I15,I20)</f>
        <v>0.11674466666666668</v>
      </c>
      <c r="J22" s="10">
        <f>AVERAGE(J3,J8,J15,J20)</f>
        <v>1.0034249999999995E-2</v>
      </c>
      <c r="K22" s="24"/>
      <c r="L22" s="29"/>
      <c r="P22" s="7" t="s">
        <v>5</v>
      </c>
      <c r="Q22" s="8"/>
      <c r="R22" s="10">
        <f>AVERAGE(R3,R8,R15,R20)</f>
        <v>0.3152476666666667</v>
      </c>
      <c r="S22" s="10">
        <f>AVERAGE(S3,S8,S15,S20)</f>
        <v>0.17565533333333336</v>
      </c>
      <c r="T22" s="10">
        <f>AVERAGE(T3,T8,T15,T20)</f>
        <v>5.2044208333333307E-2</v>
      </c>
      <c r="U22" s="10">
        <f>AVERAGE(U3,U8,U15,U20)</f>
        <v>0.28889683333333332</v>
      </c>
    </row>
    <row r="24" spans="1:21" x14ac:dyDescent="0.25">
      <c r="I24" s="4"/>
    </row>
    <row r="25" spans="1:21" x14ac:dyDescent="0.25">
      <c r="G25" s="4"/>
      <c r="H25" s="4"/>
      <c r="I25" s="4"/>
      <c r="J25" s="4"/>
      <c r="K25" s="4"/>
    </row>
    <row r="26" spans="1:21" x14ac:dyDescent="0.25">
      <c r="A26" s="30" t="s">
        <v>27</v>
      </c>
      <c r="E26" s="5"/>
      <c r="F26" s="6" t="s">
        <v>4</v>
      </c>
      <c r="G26" s="6" t="s">
        <v>18</v>
      </c>
      <c r="H26" s="6" t="s">
        <v>6</v>
      </c>
      <c r="I26" s="6" t="s">
        <v>7</v>
      </c>
      <c r="J26" s="6" t="s">
        <v>21</v>
      </c>
      <c r="K26" s="6"/>
      <c r="L26" s="30" t="s">
        <v>27</v>
      </c>
      <c r="P26" s="5"/>
      <c r="Q26" s="6" t="s">
        <v>4</v>
      </c>
      <c r="R26" s="6" t="s">
        <v>18</v>
      </c>
      <c r="S26" s="6" t="s">
        <v>6</v>
      </c>
      <c r="T26" s="6" t="s">
        <v>7</v>
      </c>
      <c r="U26" s="6" t="s">
        <v>21</v>
      </c>
    </row>
    <row r="27" spans="1:21" x14ac:dyDescent="0.25">
      <c r="A27" s="30"/>
      <c r="E27" s="7" t="s">
        <v>1</v>
      </c>
      <c r="F27" s="8"/>
      <c r="G27" s="8">
        <f>F28</f>
        <v>0.36481599999999997</v>
      </c>
      <c r="H27" s="8">
        <f>F29</f>
        <v>0.19448100000000001</v>
      </c>
      <c r="I27" s="8">
        <f>F30</f>
        <v>0.37454399999999999</v>
      </c>
      <c r="J27" s="9">
        <f>F31</f>
        <v>0.153</v>
      </c>
      <c r="K27" s="6"/>
      <c r="L27" s="30"/>
      <c r="P27" s="7" t="s">
        <v>1</v>
      </c>
      <c r="Q27" s="8"/>
      <c r="R27" s="8">
        <f>Q28</f>
        <v>0.67404099999999989</v>
      </c>
      <c r="S27" s="8">
        <f>Q29</f>
        <v>0.41860900000000001</v>
      </c>
      <c r="T27" s="8">
        <f>Q30</f>
        <v>0.22848399999999999</v>
      </c>
      <c r="U27" s="9">
        <f>Q31</f>
        <v>0.49420899999999995</v>
      </c>
    </row>
    <row r="28" spans="1:21" x14ac:dyDescent="0.25">
      <c r="A28" s="30"/>
      <c r="D28" t="s">
        <v>18</v>
      </c>
      <c r="E28" s="5"/>
      <c r="F28" s="5">
        <v>0.36481599999999997</v>
      </c>
      <c r="G28" s="5"/>
      <c r="H28" s="5">
        <f>F33-F28</f>
        <v>0.22040900000000002</v>
      </c>
      <c r="I28" s="5">
        <f>F34-F28</f>
        <v>0.28804800000000014</v>
      </c>
      <c r="J28" s="5">
        <f>F35-F28</f>
        <v>0.11318400000000001</v>
      </c>
      <c r="K28" s="5"/>
      <c r="L28" s="30"/>
      <c r="O28" t="s">
        <v>18</v>
      </c>
      <c r="P28" s="5"/>
      <c r="Q28" s="5">
        <v>0.67404099999999989</v>
      </c>
      <c r="R28" s="5"/>
      <c r="S28" s="5">
        <f>Q33-Q28</f>
        <v>7.764800000000005E-2</v>
      </c>
      <c r="T28" s="5">
        <f>Q34-Q28</f>
        <v>7.4184000000000139E-2</v>
      </c>
      <c r="U28" s="5">
        <f>Q35-Q28</f>
        <v>0.19458300000000017</v>
      </c>
    </row>
    <row r="29" spans="1:21" x14ac:dyDescent="0.25">
      <c r="A29" s="30"/>
      <c r="D29" t="s">
        <v>6</v>
      </c>
      <c r="E29" s="5"/>
      <c r="F29" s="5">
        <v>0.19448100000000001</v>
      </c>
      <c r="G29" s="5">
        <f>F33-F29</f>
        <v>0.39074399999999998</v>
      </c>
      <c r="H29" s="5"/>
      <c r="I29" s="5">
        <f>F36-F29</f>
        <v>0.18006299999999997</v>
      </c>
      <c r="J29" s="5">
        <f>F37-F29</f>
        <v>6.3518999999999992E-2</v>
      </c>
      <c r="K29" s="5"/>
      <c r="L29" s="30"/>
      <c r="O29" t="s">
        <v>6</v>
      </c>
      <c r="P29" s="5"/>
      <c r="Q29" s="5">
        <v>0.41860900000000001</v>
      </c>
      <c r="R29" s="5">
        <f>Q33-Q29</f>
        <v>0.33307999999999993</v>
      </c>
      <c r="S29" s="5"/>
      <c r="T29" s="5">
        <f>Q36-Q29</f>
        <v>1.2949999999999906E-3</v>
      </c>
      <c r="U29" s="5">
        <f>Q37-Q29</f>
        <v>0.24724699999999988</v>
      </c>
    </row>
    <row r="30" spans="1:21" x14ac:dyDescent="0.25">
      <c r="A30" s="30"/>
      <c r="D30" t="s">
        <v>7</v>
      </c>
      <c r="E30" s="5"/>
      <c r="F30" s="5">
        <v>0.37454399999999999</v>
      </c>
      <c r="G30" s="5">
        <f>F34-F30</f>
        <v>0.27832000000000012</v>
      </c>
      <c r="H30" s="5">
        <f>F36-F30</f>
        <v>0</v>
      </c>
      <c r="I30" s="5"/>
      <c r="J30" s="5">
        <f>F38-F30</f>
        <v>2.2456000000000031E-2</v>
      </c>
      <c r="K30" s="5"/>
      <c r="L30" s="30"/>
      <c r="O30" t="s">
        <v>7</v>
      </c>
      <c r="P30" s="5"/>
      <c r="Q30" s="5">
        <v>0.22848399999999999</v>
      </c>
      <c r="R30" s="5">
        <f>Q34-Q30</f>
        <v>0.51974100000000001</v>
      </c>
      <c r="S30" s="5">
        <f>Q36-Q30</f>
        <v>0.19142000000000001</v>
      </c>
      <c r="T30" s="5"/>
      <c r="U30" s="5">
        <f>Q38-Q30</f>
        <v>0.29279999999999995</v>
      </c>
    </row>
    <row r="31" spans="1:21" x14ac:dyDescent="0.25">
      <c r="A31" s="30"/>
      <c r="D31" t="s">
        <v>21</v>
      </c>
      <c r="E31" s="5"/>
      <c r="F31" s="5">
        <v>0.153</v>
      </c>
      <c r="G31" s="5">
        <f>F35-F31</f>
        <v>0.32499999999999996</v>
      </c>
      <c r="H31" s="5">
        <f>F37-F31</f>
        <v>0.10500000000000001</v>
      </c>
      <c r="I31" s="5">
        <f>F38-F31</f>
        <v>0.24400000000000002</v>
      </c>
      <c r="J31" s="5"/>
      <c r="K31" s="5"/>
      <c r="L31" s="30"/>
      <c r="O31" t="s">
        <v>21</v>
      </c>
      <c r="P31" s="5"/>
      <c r="Q31" s="5">
        <v>0.49420899999999995</v>
      </c>
      <c r="R31" s="5">
        <f>Q35-Q31</f>
        <v>0.37441500000000011</v>
      </c>
      <c r="S31" s="5">
        <f>Q37-Q31</f>
        <v>0.17164699999999994</v>
      </c>
      <c r="T31" s="5">
        <f>Q38-Q31</f>
        <v>2.7075000000000016E-2</v>
      </c>
      <c r="U31" s="5"/>
    </row>
    <row r="32" spans="1:21" x14ac:dyDescent="0.25">
      <c r="A32" s="30"/>
      <c r="E32" s="7" t="s">
        <v>0</v>
      </c>
      <c r="F32" s="8" t="s">
        <v>20</v>
      </c>
      <c r="G32" s="10">
        <f>AVERAGE(G28:G31)</f>
        <v>0.33135466666666669</v>
      </c>
      <c r="H32" s="10">
        <f>AVERAGE(H28:H31)</f>
        <v>0.10846966666666669</v>
      </c>
      <c r="I32" s="10">
        <f>AVERAGE(I28:I31)</f>
        <v>0.23737033333333338</v>
      </c>
      <c r="J32" s="10">
        <f>AVERAGE(J28:J31)</f>
        <v>6.6386333333333339E-2</v>
      </c>
      <c r="K32" s="24"/>
      <c r="L32" s="30"/>
      <c r="P32" s="7" t="s">
        <v>0</v>
      </c>
      <c r="Q32" s="8" t="s">
        <v>20</v>
      </c>
      <c r="R32" s="10">
        <f>AVERAGE(R28:R31)</f>
        <v>0.40907866666666665</v>
      </c>
      <c r="S32" s="10">
        <f>AVERAGE(S28:S31)</f>
        <v>0.14690500000000001</v>
      </c>
      <c r="T32" s="10">
        <f>AVERAGE(T28:T31)</f>
        <v>3.4184666666666717E-2</v>
      </c>
      <c r="U32" s="10">
        <f>AVERAGE(U28:U31)</f>
        <v>0.24487666666666666</v>
      </c>
    </row>
    <row r="33" spans="1:21" x14ac:dyDescent="0.25">
      <c r="A33" s="30"/>
      <c r="C33" t="s">
        <v>18</v>
      </c>
      <c r="D33" t="s">
        <v>6</v>
      </c>
      <c r="E33" s="5"/>
      <c r="F33" s="5">
        <v>0.585225</v>
      </c>
      <c r="G33" s="5"/>
      <c r="H33" s="5"/>
      <c r="I33" s="5">
        <f>F40-F33</f>
        <v>8.0630999999999897E-2</v>
      </c>
      <c r="J33" s="5">
        <f>F41-F33</f>
        <v>3.2774999999999999E-2</v>
      </c>
      <c r="K33" s="5"/>
      <c r="L33" s="30"/>
      <c r="N33" t="s">
        <v>18</v>
      </c>
      <c r="O33" t="s">
        <v>6</v>
      </c>
      <c r="P33" s="5"/>
      <c r="Q33" s="5">
        <v>0.75168899999999994</v>
      </c>
      <c r="R33" s="5"/>
      <c r="S33" s="5"/>
      <c r="T33" s="5">
        <f>Q40-Q33</f>
        <v>1.2187000000000059E-2</v>
      </c>
      <c r="U33" s="5">
        <f>Q41-Q33</f>
        <v>0.14701500000000001</v>
      </c>
    </row>
    <row r="34" spans="1:21" x14ac:dyDescent="0.25">
      <c r="A34" s="30"/>
      <c r="C34" t="s">
        <v>18</v>
      </c>
      <c r="D34" t="s">
        <v>7</v>
      </c>
      <c r="E34" s="5"/>
      <c r="F34" s="5">
        <v>0.65286400000000011</v>
      </c>
      <c r="G34" s="5"/>
      <c r="H34" s="5">
        <f>F40-F34</f>
        <v>1.2991999999999782E-2</v>
      </c>
      <c r="I34" s="5"/>
      <c r="J34" s="5">
        <f>F42-F34</f>
        <v>1.6135999999999928E-2</v>
      </c>
      <c r="K34" s="5"/>
      <c r="L34" s="30"/>
      <c r="N34" t="s">
        <v>18</v>
      </c>
      <c r="O34" t="s">
        <v>7</v>
      </c>
      <c r="P34" s="5"/>
      <c r="Q34" s="5">
        <v>0.74822500000000003</v>
      </c>
      <c r="R34" s="5"/>
      <c r="S34" s="5">
        <f>Q40-Q34</f>
        <v>1.565099999999997E-2</v>
      </c>
      <c r="T34" s="5"/>
      <c r="U34" s="5">
        <f>Q42-Q34</f>
        <v>0.12974400000000008</v>
      </c>
    </row>
    <row r="35" spans="1:21" x14ac:dyDescent="0.25">
      <c r="A35" s="30"/>
      <c r="C35" t="s">
        <v>18</v>
      </c>
      <c r="D35" t="s">
        <v>21</v>
      </c>
      <c r="E35" s="5"/>
      <c r="F35" s="5">
        <v>0.47799999999999998</v>
      </c>
      <c r="G35" s="5"/>
      <c r="H35" s="5">
        <f>F41-F35</f>
        <v>0.14000000000000001</v>
      </c>
      <c r="I35" s="5">
        <f>F42-F35</f>
        <v>0.19100000000000006</v>
      </c>
      <c r="J35" s="5"/>
      <c r="K35" s="5"/>
      <c r="L35" s="30"/>
      <c r="N35" t="s">
        <v>18</v>
      </c>
      <c r="O35" t="s">
        <v>21</v>
      </c>
      <c r="P35" s="5"/>
      <c r="Q35" s="5">
        <v>0.86862400000000006</v>
      </c>
      <c r="R35" s="5"/>
      <c r="S35" s="5">
        <f>Q41-Q35</f>
        <v>3.0079999999999885E-2</v>
      </c>
      <c r="T35" s="5">
        <f>Q42-Q35</f>
        <v>9.3450000000000477E-3</v>
      </c>
      <c r="U35" s="5"/>
    </row>
    <row r="36" spans="1:21" x14ac:dyDescent="0.25">
      <c r="A36" s="30"/>
      <c r="C36" t="s">
        <v>6</v>
      </c>
      <c r="D36" t="s">
        <v>7</v>
      </c>
      <c r="E36" s="5"/>
      <c r="F36" s="5">
        <v>0.37454399999999999</v>
      </c>
      <c r="G36" s="5">
        <f>F40-F36</f>
        <v>0.2913119999999999</v>
      </c>
      <c r="H36" s="5"/>
      <c r="I36" s="5"/>
      <c r="J36" s="5">
        <f>F43-F36</f>
        <v>2.2456000000000031E-2</v>
      </c>
      <c r="K36" s="5"/>
      <c r="L36" s="30"/>
      <c r="N36" t="s">
        <v>6</v>
      </c>
      <c r="O36" t="s">
        <v>7</v>
      </c>
      <c r="P36" s="5"/>
      <c r="Q36" s="5">
        <v>0.419904</v>
      </c>
      <c r="R36" s="5">
        <f>Q40-Q36</f>
        <v>0.343972</v>
      </c>
      <c r="S36" s="5"/>
      <c r="T36" s="5"/>
      <c r="U36" s="5">
        <f>Q43-Q36</f>
        <v>0.2640249999999999</v>
      </c>
    </row>
    <row r="37" spans="1:21" x14ac:dyDescent="0.25">
      <c r="A37" s="30"/>
      <c r="C37" t="s">
        <v>6</v>
      </c>
      <c r="D37" t="s">
        <v>21</v>
      </c>
      <c r="E37" s="5"/>
      <c r="F37" s="5">
        <v>0.25800000000000001</v>
      </c>
      <c r="G37" s="5">
        <f>F41-F37</f>
        <v>0.36</v>
      </c>
      <c r="H37" s="5"/>
      <c r="I37" s="5">
        <f>F43-F37</f>
        <v>0.13900000000000001</v>
      </c>
      <c r="J37" s="5"/>
      <c r="K37" s="5"/>
      <c r="L37" s="30"/>
      <c r="N37" t="s">
        <v>6</v>
      </c>
      <c r="O37" t="s">
        <v>21</v>
      </c>
      <c r="P37" s="5"/>
      <c r="Q37" s="5">
        <v>0.66585599999999989</v>
      </c>
      <c r="R37" s="5">
        <f>Q41-Q37</f>
        <v>0.23284800000000005</v>
      </c>
      <c r="S37" s="5"/>
      <c r="T37" s="5">
        <f>Q43-Q37</f>
        <v>1.8073000000000006E-2</v>
      </c>
      <c r="U37" s="5"/>
    </row>
    <row r="38" spans="1:21" x14ac:dyDescent="0.25">
      <c r="A38" s="30"/>
      <c r="C38" t="s">
        <v>7</v>
      </c>
      <c r="D38" t="s">
        <v>21</v>
      </c>
      <c r="E38" s="5"/>
      <c r="F38" s="5">
        <v>0.39700000000000002</v>
      </c>
      <c r="G38" s="5">
        <f>F42-F38</f>
        <v>0.27200000000000002</v>
      </c>
      <c r="H38" s="5">
        <f>F43-F38</f>
        <v>0</v>
      </c>
      <c r="I38" s="5"/>
      <c r="J38" s="5"/>
      <c r="K38" s="5"/>
      <c r="L38" s="30"/>
      <c r="N38" t="s">
        <v>7</v>
      </c>
      <c r="O38" t="s">
        <v>21</v>
      </c>
      <c r="P38" s="5"/>
      <c r="Q38" s="5">
        <v>0.52128399999999997</v>
      </c>
      <c r="R38" s="5">
        <f>Q42-Q38</f>
        <v>0.35668500000000014</v>
      </c>
      <c r="S38" s="5">
        <f>Q43-Q38</f>
        <v>0.16264499999999993</v>
      </c>
      <c r="T38" s="5"/>
      <c r="U38" s="5"/>
    </row>
    <row r="39" spans="1:21" x14ac:dyDescent="0.25">
      <c r="A39" s="30"/>
      <c r="E39" s="7" t="s">
        <v>2</v>
      </c>
      <c r="F39" s="8" t="s">
        <v>20</v>
      </c>
      <c r="G39" s="10">
        <f>AVERAGE(G35:G38)</f>
        <v>0.30777066666666664</v>
      </c>
      <c r="H39" s="10">
        <f>AVERAGE(H35:H38)</f>
        <v>7.0000000000000007E-2</v>
      </c>
      <c r="I39" s="10">
        <f>AVERAGE(I35:I38)</f>
        <v>0.16500000000000004</v>
      </c>
      <c r="J39" s="10">
        <f>AVERAGE(J35:J38)</f>
        <v>2.2456000000000031E-2</v>
      </c>
      <c r="K39" s="24"/>
      <c r="L39" s="30"/>
      <c r="P39" s="7" t="s">
        <v>2</v>
      </c>
      <c r="Q39" s="8" t="s">
        <v>20</v>
      </c>
      <c r="R39" s="10">
        <f>AVERAGE(R35:R38)</f>
        <v>0.31116833333333344</v>
      </c>
      <c r="S39" s="10">
        <f>AVERAGE(S35:S38)</f>
        <v>9.6362499999999907E-2</v>
      </c>
      <c r="T39" s="10">
        <f>AVERAGE(T35:T38)</f>
        <v>1.3709000000000027E-2</v>
      </c>
      <c r="U39" s="10">
        <f>AVERAGE(U35:U38)</f>
        <v>0.2640249999999999</v>
      </c>
    </row>
    <row r="40" spans="1:21" x14ac:dyDescent="0.25">
      <c r="A40" s="30"/>
      <c r="B40" t="s">
        <v>18</v>
      </c>
      <c r="C40" t="s">
        <v>6</v>
      </c>
      <c r="D40" t="s">
        <v>7</v>
      </c>
      <c r="E40" s="5"/>
      <c r="F40" s="5">
        <v>0.66585599999999989</v>
      </c>
      <c r="G40" s="5"/>
      <c r="H40" s="5"/>
      <c r="I40" s="5"/>
      <c r="J40" s="5">
        <f>F45-F40</f>
        <v>1.4144000000000156E-2</v>
      </c>
      <c r="K40" s="5"/>
      <c r="L40" s="30"/>
      <c r="M40" t="s">
        <v>18</v>
      </c>
      <c r="N40" t="s">
        <v>6</v>
      </c>
      <c r="O40" t="s">
        <v>7</v>
      </c>
      <c r="P40" s="5"/>
      <c r="Q40" s="5">
        <v>0.763876</v>
      </c>
      <c r="R40" s="5"/>
      <c r="S40" s="5"/>
      <c r="T40" s="5"/>
      <c r="U40" s="5">
        <f>Q45-Q40</f>
        <v>0.13672499999999987</v>
      </c>
    </row>
    <row r="41" spans="1:21" x14ac:dyDescent="0.25">
      <c r="A41" s="30"/>
      <c r="B41" t="s">
        <v>18</v>
      </c>
      <c r="C41" t="s">
        <v>6</v>
      </c>
      <c r="D41" t="s">
        <v>21</v>
      </c>
      <c r="E41" s="5"/>
      <c r="F41" s="5">
        <v>0.61799999999999999</v>
      </c>
      <c r="G41" s="5"/>
      <c r="H41" s="5"/>
      <c r="I41" s="5">
        <f>F45-F41</f>
        <v>6.2000000000000055E-2</v>
      </c>
      <c r="J41" s="5"/>
      <c r="K41" s="5"/>
      <c r="L41" s="30"/>
      <c r="M41" t="s">
        <v>18</v>
      </c>
      <c r="N41" t="s">
        <v>6</v>
      </c>
      <c r="O41" t="s">
        <v>21</v>
      </c>
      <c r="P41" s="5"/>
      <c r="Q41" s="5">
        <v>0.89870399999999995</v>
      </c>
      <c r="R41" s="5"/>
      <c r="S41" s="5"/>
      <c r="T41" s="5">
        <f>Q45-Q41</f>
        <v>1.8969999999999265E-3</v>
      </c>
      <c r="U41" s="5"/>
    </row>
    <row r="42" spans="1:21" x14ac:dyDescent="0.25">
      <c r="A42" s="30"/>
      <c r="B42" t="s">
        <v>18</v>
      </c>
      <c r="C42" t="s">
        <v>7</v>
      </c>
      <c r="D42" t="s">
        <v>21</v>
      </c>
      <c r="E42" s="5"/>
      <c r="F42" s="5">
        <v>0.66900000000000004</v>
      </c>
      <c r="G42" s="5"/>
      <c r="H42" s="5">
        <f>F45-F42</f>
        <v>1.100000000000001E-2</v>
      </c>
      <c r="I42" s="5"/>
      <c r="J42" s="5"/>
      <c r="K42" s="5"/>
      <c r="L42" s="30"/>
      <c r="M42" t="s">
        <v>18</v>
      </c>
      <c r="N42" t="s">
        <v>7</v>
      </c>
      <c r="O42" t="s">
        <v>21</v>
      </c>
      <c r="P42" s="5"/>
      <c r="Q42" s="5">
        <v>0.87796900000000011</v>
      </c>
      <c r="R42" s="5"/>
      <c r="S42" s="5">
        <f>Q45-Q42</f>
        <v>2.2631999999999763E-2</v>
      </c>
      <c r="T42" s="5"/>
      <c r="U42" s="5"/>
    </row>
    <row r="43" spans="1:21" x14ac:dyDescent="0.25">
      <c r="A43" s="30"/>
      <c r="B43" t="s">
        <v>6</v>
      </c>
      <c r="C43" t="s">
        <v>7</v>
      </c>
      <c r="D43" t="s">
        <v>21</v>
      </c>
      <c r="E43" s="5"/>
      <c r="F43" s="5">
        <v>0.39700000000000002</v>
      </c>
      <c r="G43" s="5">
        <f>F45-F43</f>
        <v>0.28300000000000003</v>
      </c>
      <c r="H43" s="5"/>
      <c r="I43" s="5"/>
      <c r="J43" s="5"/>
      <c r="K43" s="5"/>
      <c r="L43" s="30"/>
      <c r="M43" t="s">
        <v>6</v>
      </c>
      <c r="N43" t="s">
        <v>7</v>
      </c>
      <c r="O43" t="s">
        <v>21</v>
      </c>
      <c r="P43" s="5"/>
      <c r="Q43" s="5">
        <v>0.6839289999999999</v>
      </c>
      <c r="R43" s="5">
        <f>Q45-Q43</f>
        <v>0.21667199999999998</v>
      </c>
      <c r="S43" s="5"/>
      <c r="T43" s="5"/>
      <c r="U43" s="5"/>
    </row>
    <row r="44" spans="1:21" x14ac:dyDescent="0.25">
      <c r="A44" s="30"/>
      <c r="E44" s="7" t="s">
        <v>3</v>
      </c>
      <c r="F44" s="8" t="s">
        <v>20</v>
      </c>
      <c r="G44" s="10">
        <f>AVERAGE(G40:G43)</f>
        <v>0.28300000000000003</v>
      </c>
      <c r="H44" s="10">
        <f>AVERAGE(H40:H43)</f>
        <v>1.100000000000001E-2</v>
      </c>
      <c r="I44" s="10">
        <f>AVERAGE(I40:I43)</f>
        <v>6.2000000000000055E-2</v>
      </c>
      <c r="J44" s="10">
        <f>AVERAGE(J40:J43)</f>
        <v>1.4144000000000156E-2</v>
      </c>
      <c r="K44" s="24"/>
      <c r="L44" s="30"/>
      <c r="P44" s="7" t="s">
        <v>3</v>
      </c>
      <c r="Q44" s="8" t="s">
        <v>20</v>
      </c>
      <c r="R44" s="10">
        <f>AVERAGE(R40:R43)</f>
        <v>0.21667199999999998</v>
      </c>
      <c r="S44" s="10">
        <f>AVERAGE(S40:S43)</f>
        <v>2.2631999999999763E-2</v>
      </c>
      <c r="T44" s="10">
        <f>AVERAGE(T40:T43)</f>
        <v>1.8969999999999265E-3</v>
      </c>
      <c r="U44" s="10">
        <f>AVERAGE(U40:U43)</f>
        <v>0.13672499999999987</v>
      </c>
    </row>
    <row r="45" spans="1:21" x14ac:dyDescent="0.25">
      <c r="A45" s="30"/>
      <c r="B45" t="s">
        <v>18</v>
      </c>
      <c r="C45" t="s">
        <v>6</v>
      </c>
      <c r="D45" t="s">
        <v>7</v>
      </c>
      <c r="E45" s="5" t="s">
        <v>21</v>
      </c>
      <c r="F45" s="5">
        <v>0.68</v>
      </c>
      <c r="G45" s="5"/>
      <c r="H45" s="5"/>
      <c r="I45" s="5"/>
      <c r="J45" s="5"/>
      <c r="K45" s="5"/>
      <c r="L45" s="30"/>
      <c r="M45" t="s">
        <v>18</v>
      </c>
      <c r="N45" t="s">
        <v>6</v>
      </c>
      <c r="O45" t="s">
        <v>7</v>
      </c>
      <c r="P45" s="5" t="s">
        <v>21</v>
      </c>
      <c r="Q45" s="5">
        <v>0.90060099999999987</v>
      </c>
      <c r="R45" s="5"/>
      <c r="S45" s="5"/>
      <c r="T45" s="5"/>
      <c r="U45" s="5"/>
    </row>
    <row r="46" spans="1:21" x14ac:dyDescent="0.25">
      <c r="A46" s="30"/>
      <c r="E46" s="7" t="s">
        <v>5</v>
      </c>
      <c r="F46" s="8"/>
      <c r="G46" s="10">
        <f>AVERAGE(G27,G32,G39,G44)</f>
        <v>0.32173533333333337</v>
      </c>
      <c r="H46" s="10">
        <f>AVERAGE(H27,H32,H39,H44)</f>
        <v>9.5987666666666679E-2</v>
      </c>
      <c r="I46" s="10">
        <f>AVERAGE(I27,I32,I39,I44)</f>
        <v>0.20972858333333336</v>
      </c>
      <c r="J46" s="10">
        <f>AVERAGE(J27,J32,J39,J44)</f>
        <v>6.3996583333333384E-2</v>
      </c>
      <c r="K46" s="24"/>
      <c r="L46" s="30"/>
      <c r="P46" s="7" t="s">
        <v>5</v>
      </c>
      <c r="Q46" s="8"/>
      <c r="R46" s="10">
        <f>AVERAGE(R27,R32,R39,R44)</f>
        <v>0.40273999999999999</v>
      </c>
      <c r="S46" s="10">
        <f>AVERAGE(S27,S32,S39,S44)</f>
        <v>0.17112712499999994</v>
      </c>
      <c r="T46" s="10">
        <f>AVERAGE(T27,T32,T39,T44)</f>
        <v>6.9568666666666668E-2</v>
      </c>
      <c r="U46" s="10">
        <f>AVERAGE(U27,U32,U39,U44)</f>
        <v>0.28495891666666662</v>
      </c>
    </row>
    <row r="49" spans="1:21" x14ac:dyDescent="0.25">
      <c r="A49" s="31" t="s">
        <v>28</v>
      </c>
      <c r="E49" s="5"/>
      <c r="F49" s="6" t="s">
        <v>4</v>
      </c>
      <c r="G49" s="6" t="s">
        <v>18</v>
      </c>
      <c r="H49" s="6" t="s">
        <v>6</v>
      </c>
      <c r="I49" s="6" t="s">
        <v>7</v>
      </c>
      <c r="J49" s="6" t="s">
        <v>21</v>
      </c>
      <c r="K49" s="6"/>
      <c r="L49" s="31" t="s">
        <v>28</v>
      </c>
      <c r="P49" s="5"/>
      <c r="Q49" s="6" t="s">
        <v>4</v>
      </c>
      <c r="R49" s="6" t="s">
        <v>18</v>
      </c>
      <c r="S49" s="6" t="s">
        <v>6</v>
      </c>
      <c r="T49" s="6" t="s">
        <v>7</v>
      </c>
      <c r="U49" s="6" t="s">
        <v>21</v>
      </c>
    </row>
    <row r="50" spans="1:21" x14ac:dyDescent="0.25">
      <c r="A50" s="31"/>
      <c r="E50" s="7" t="s">
        <v>1</v>
      </c>
      <c r="F50" s="8"/>
      <c r="G50" s="8">
        <f>F51</f>
        <v>0.244036</v>
      </c>
      <c r="H50" s="8">
        <f>F52</f>
        <v>0.18404099999999998</v>
      </c>
      <c r="I50" s="8">
        <f>F53</f>
        <v>0.34339599999999998</v>
      </c>
      <c r="J50" s="9">
        <f>F54</f>
        <v>0.22500000000000001</v>
      </c>
      <c r="K50" s="6"/>
      <c r="L50" s="31"/>
      <c r="P50" s="7" t="s">
        <v>1</v>
      </c>
      <c r="Q50" s="8"/>
      <c r="R50" s="8">
        <f>Q51</f>
        <v>0.66585599999999989</v>
      </c>
      <c r="S50" s="8">
        <f>Q52</f>
        <v>0.390625</v>
      </c>
      <c r="T50" s="8">
        <f>Q53</f>
        <v>0.29160000000000003</v>
      </c>
      <c r="U50" s="9">
        <f>Q54</f>
        <v>0.46104100000000009</v>
      </c>
    </row>
    <row r="51" spans="1:21" x14ac:dyDescent="0.25">
      <c r="A51" s="31"/>
      <c r="D51" t="s">
        <v>18</v>
      </c>
      <c r="E51" s="5"/>
      <c r="F51" s="5">
        <v>0.244036</v>
      </c>
      <c r="G51" s="5"/>
      <c r="H51" s="5">
        <f>F56-F51</f>
        <v>0.20486400000000007</v>
      </c>
      <c r="I51" s="5">
        <f>F57-F51</f>
        <v>0.27580499999999997</v>
      </c>
      <c r="J51" s="5">
        <f>F58-F51</f>
        <v>0.18496399999999999</v>
      </c>
      <c r="K51" s="5"/>
      <c r="L51" s="31"/>
      <c r="O51" t="s">
        <v>18</v>
      </c>
      <c r="P51" s="5"/>
      <c r="Q51" s="5">
        <v>0.66585599999999989</v>
      </c>
      <c r="R51" s="5"/>
      <c r="S51" s="5">
        <f>Q56-Q51</f>
        <v>6.5169000000000032E-2</v>
      </c>
      <c r="T51" s="5">
        <f>Q57-Q51</f>
        <v>0.11560000000000015</v>
      </c>
      <c r="U51" s="5">
        <f>Q58-Q51</f>
        <v>0.17503300000000022</v>
      </c>
    </row>
    <row r="52" spans="1:21" x14ac:dyDescent="0.25">
      <c r="A52" s="31"/>
      <c r="D52" t="s">
        <v>6</v>
      </c>
      <c r="E52" s="5"/>
      <c r="F52" s="5">
        <v>0.18404099999999998</v>
      </c>
      <c r="G52" s="5">
        <f>F56-F52</f>
        <v>0.26485900000000007</v>
      </c>
      <c r="H52" s="5"/>
      <c r="I52" s="5">
        <f>F59-F52</f>
        <v>0.159355</v>
      </c>
      <c r="J52" s="5">
        <f>F60-F52</f>
        <v>0.11895900000000001</v>
      </c>
      <c r="K52" s="5"/>
      <c r="L52" s="31"/>
      <c r="O52" t="s">
        <v>6</v>
      </c>
      <c r="P52" s="5"/>
      <c r="Q52" s="5">
        <v>0.390625</v>
      </c>
      <c r="R52" s="5">
        <f>Q56-Q52</f>
        <v>0.34039999999999992</v>
      </c>
      <c r="S52" s="5"/>
      <c r="T52" s="5">
        <f>Q59-Q52</f>
        <v>2.0255999999999996E-2</v>
      </c>
      <c r="U52" s="5">
        <f>Q60-Q52</f>
        <v>0.23031900000000005</v>
      </c>
    </row>
    <row r="53" spans="1:21" x14ac:dyDescent="0.25">
      <c r="A53" s="31"/>
      <c r="D53" t="s">
        <v>7</v>
      </c>
      <c r="E53" s="5"/>
      <c r="F53" s="5">
        <v>0.34339599999999998</v>
      </c>
      <c r="G53" s="5">
        <f>F57-F53</f>
        <v>0.17644500000000002</v>
      </c>
      <c r="H53" s="5">
        <f>F59-F53</f>
        <v>0</v>
      </c>
      <c r="I53" s="5"/>
      <c r="J53" s="5">
        <f>F61-F53</f>
        <v>6.4603999999999995E-2</v>
      </c>
      <c r="K53" s="5"/>
      <c r="L53" s="31"/>
      <c r="O53" t="s">
        <v>7</v>
      </c>
      <c r="P53" s="5"/>
      <c r="Q53" s="5">
        <v>0.29160000000000003</v>
      </c>
      <c r="R53" s="5">
        <f>Q57-Q53</f>
        <v>0.48985600000000001</v>
      </c>
      <c r="S53" s="5">
        <f>Q59-Q53</f>
        <v>0.11928099999999997</v>
      </c>
      <c r="T53" s="5"/>
      <c r="U53" s="5">
        <f>Q61-Q53</f>
        <v>0.23112899999999997</v>
      </c>
    </row>
    <row r="54" spans="1:21" x14ac:dyDescent="0.25">
      <c r="A54" s="31"/>
      <c r="D54" t="s">
        <v>21</v>
      </c>
      <c r="E54" s="5"/>
      <c r="F54" s="5">
        <v>0.22500000000000001</v>
      </c>
      <c r="G54" s="5">
        <f>F58-F54</f>
        <v>0.20399999999999999</v>
      </c>
      <c r="H54" s="5">
        <f>F60-F54</f>
        <v>7.7999999999999986E-2</v>
      </c>
      <c r="I54" s="5">
        <f>F61-F54</f>
        <v>0.18299999999999997</v>
      </c>
      <c r="J54" s="5"/>
      <c r="K54" s="5"/>
      <c r="L54" s="31"/>
      <c r="O54" t="s">
        <v>21</v>
      </c>
      <c r="P54" s="5"/>
      <c r="Q54" s="5">
        <v>0.46104100000000009</v>
      </c>
      <c r="R54" s="5">
        <f>Q58-Q54</f>
        <v>0.37984800000000002</v>
      </c>
      <c r="S54" s="5">
        <f>Q60-Q54</f>
        <v>0.15990299999999996</v>
      </c>
      <c r="T54" s="5">
        <f>Q61-Q54</f>
        <v>6.168799999999991E-2</v>
      </c>
      <c r="U54" s="5"/>
    </row>
    <row r="55" spans="1:21" x14ac:dyDescent="0.25">
      <c r="A55" s="31"/>
      <c r="E55" s="7" t="s">
        <v>0</v>
      </c>
      <c r="F55" s="8" t="s">
        <v>20</v>
      </c>
      <c r="G55" s="10">
        <f>AVERAGE(G51:G54)</f>
        <v>0.21510133333333337</v>
      </c>
      <c r="H55" s="10">
        <f>AVERAGE(H51:H54)</f>
        <v>9.4288000000000025E-2</v>
      </c>
      <c r="I55" s="10">
        <f>AVERAGE(I51:I54)</f>
        <v>0.20605333333333331</v>
      </c>
      <c r="J55" s="10">
        <f>AVERAGE(J51:J54)</f>
        <v>0.12284233333333333</v>
      </c>
      <c r="K55" s="24"/>
      <c r="L55" s="31"/>
      <c r="P55" s="7" t="s">
        <v>0</v>
      </c>
      <c r="Q55" s="8" t="s">
        <v>20</v>
      </c>
      <c r="R55" s="10">
        <f>AVERAGE(R51:R54)</f>
        <v>0.40336799999999995</v>
      </c>
      <c r="S55" s="10">
        <f>AVERAGE(S51:S54)</f>
        <v>0.11478433333333332</v>
      </c>
      <c r="T55" s="10">
        <f>AVERAGE(T51:T54)</f>
        <v>6.5848000000000018E-2</v>
      </c>
      <c r="U55" s="10">
        <f>AVERAGE(U51:U54)</f>
        <v>0.21216033333333342</v>
      </c>
    </row>
    <row r="56" spans="1:21" x14ac:dyDescent="0.25">
      <c r="A56" s="31"/>
      <c r="C56" t="s">
        <v>18</v>
      </c>
      <c r="D56" t="s">
        <v>6</v>
      </c>
      <c r="E56" s="5"/>
      <c r="F56" s="5">
        <v>0.44890000000000008</v>
      </c>
      <c r="G56" s="5"/>
      <c r="H56" s="5"/>
      <c r="I56" s="5">
        <f>F63-F56</f>
        <v>8.1083999999999934E-2</v>
      </c>
      <c r="J56" s="5">
        <f>F64-F56</f>
        <v>8.2099999999999951E-2</v>
      </c>
      <c r="K56" s="5"/>
      <c r="L56" s="31"/>
      <c r="N56" t="s">
        <v>18</v>
      </c>
      <c r="O56" t="s">
        <v>6</v>
      </c>
      <c r="P56" s="5"/>
      <c r="Q56" s="5">
        <v>0.73102499999999992</v>
      </c>
      <c r="R56" s="5"/>
      <c r="S56" s="5"/>
      <c r="T56" s="5">
        <f>Q63-Q56</f>
        <v>5.0431000000000115E-2</v>
      </c>
      <c r="U56" s="5">
        <f>Q64-Q56</f>
        <v>0.13387500000000019</v>
      </c>
    </row>
    <row r="57" spans="1:21" x14ac:dyDescent="0.25">
      <c r="A57" s="31"/>
      <c r="C57" t="s">
        <v>18</v>
      </c>
      <c r="D57" t="s">
        <v>7</v>
      </c>
      <c r="E57" s="5"/>
      <c r="F57" s="5">
        <v>0.519841</v>
      </c>
      <c r="G57" s="5"/>
      <c r="H57" s="5">
        <f>F63-F57</f>
        <v>1.0143000000000013E-2</v>
      </c>
      <c r="I57" s="5"/>
      <c r="J57" s="5">
        <f>F65-F57</f>
        <v>5.6158999999999959E-2</v>
      </c>
      <c r="K57" s="5"/>
      <c r="L57" s="31"/>
      <c r="N57" t="s">
        <v>18</v>
      </c>
      <c r="O57" t="s">
        <v>7</v>
      </c>
      <c r="P57" s="5"/>
      <c r="Q57" s="5">
        <v>0.78145600000000004</v>
      </c>
      <c r="R57" s="5"/>
      <c r="S57" s="5">
        <f>Q63-Q57</f>
        <v>0</v>
      </c>
      <c r="T57" s="5"/>
      <c r="U57" s="5">
        <f>Q65-Q57</f>
        <v>9.0900000000000092E-2</v>
      </c>
    </row>
    <row r="58" spans="1:21" x14ac:dyDescent="0.25">
      <c r="A58" s="31"/>
      <c r="C58" t="s">
        <v>18</v>
      </c>
      <c r="D58" t="s">
        <v>21</v>
      </c>
      <c r="E58" s="5"/>
      <c r="F58" s="5">
        <v>0.42899999999999999</v>
      </c>
      <c r="G58" s="5"/>
      <c r="H58" s="5">
        <f>F64-F58</f>
        <v>0.10200000000000004</v>
      </c>
      <c r="I58" s="5">
        <f>F65-F58</f>
        <v>0.14699999999999996</v>
      </c>
      <c r="J58" s="5"/>
      <c r="K58" s="5"/>
      <c r="L58" s="31"/>
      <c r="N58" t="s">
        <v>18</v>
      </c>
      <c r="O58" t="s">
        <v>21</v>
      </c>
      <c r="P58" s="5"/>
      <c r="Q58" s="5">
        <v>0.84088900000000011</v>
      </c>
      <c r="R58" s="5"/>
      <c r="S58" s="5">
        <f>Q64-Q58</f>
        <v>2.4011000000000005E-2</v>
      </c>
      <c r="T58" s="5">
        <f>Q65-Q58</f>
        <v>3.1467000000000023E-2</v>
      </c>
      <c r="U58" s="5"/>
    </row>
    <row r="59" spans="1:21" x14ac:dyDescent="0.25">
      <c r="A59" s="31"/>
      <c r="C59" t="s">
        <v>6</v>
      </c>
      <c r="D59" t="s">
        <v>7</v>
      </c>
      <c r="E59" s="5"/>
      <c r="F59" s="5">
        <v>0.34339599999999998</v>
      </c>
      <c r="G59" s="5">
        <f>F63-F59</f>
        <v>0.18658800000000003</v>
      </c>
      <c r="H59" s="5"/>
      <c r="I59" s="5"/>
      <c r="J59" s="5">
        <f>F66-F59</f>
        <v>6.4603999999999995E-2</v>
      </c>
      <c r="K59" s="5"/>
      <c r="L59" s="31"/>
      <c r="N59" t="s">
        <v>6</v>
      </c>
      <c r="O59" t="s">
        <v>7</v>
      </c>
      <c r="P59" s="5"/>
      <c r="Q59" s="5">
        <v>0.410881</v>
      </c>
      <c r="R59" s="5">
        <f>Q63-Q59</f>
        <v>0.37057500000000004</v>
      </c>
      <c r="S59" s="5"/>
      <c r="T59" s="5"/>
      <c r="U59" s="5">
        <f>Q66-Q59</f>
        <v>0.21006300000000006</v>
      </c>
    </row>
    <row r="60" spans="1:21" x14ac:dyDescent="0.25">
      <c r="A60" s="31"/>
      <c r="C60" t="s">
        <v>6</v>
      </c>
      <c r="D60" t="s">
        <v>21</v>
      </c>
      <c r="E60" s="5"/>
      <c r="F60" s="5">
        <v>0.30299999999999999</v>
      </c>
      <c r="G60" s="5">
        <f>F64-F60</f>
        <v>0.22800000000000004</v>
      </c>
      <c r="H60" s="5"/>
      <c r="I60" s="5">
        <f>F66-F60</f>
        <v>0.10499999999999998</v>
      </c>
      <c r="J60" s="5"/>
      <c r="K60" s="5"/>
      <c r="L60" s="31"/>
      <c r="N60" t="s">
        <v>6</v>
      </c>
      <c r="O60" t="s">
        <v>21</v>
      </c>
      <c r="P60" s="5"/>
      <c r="Q60" s="5">
        <v>0.62094400000000005</v>
      </c>
      <c r="R60" s="5">
        <f>Q64-Q60</f>
        <v>0.24395600000000006</v>
      </c>
      <c r="S60" s="5"/>
      <c r="T60" s="5">
        <f>Q66-Q60</f>
        <v>0</v>
      </c>
      <c r="U60" s="5"/>
    </row>
    <row r="61" spans="1:21" x14ac:dyDescent="0.25">
      <c r="A61" s="31"/>
      <c r="C61" t="s">
        <v>7</v>
      </c>
      <c r="D61" t="s">
        <v>21</v>
      </c>
      <c r="E61" s="5"/>
      <c r="F61" s="5">
        <v>0.40799999999999997</v>
      </c>
      <c r="G61" s="5">
        <f>F65-F61</f>
        <v>0.16799999999999998</v>
      </c>
      <c r="H61" s="5">
        <f>F66-F61</f>
        <v>0</v>
      </c>
      <c r="I61" s="5"/>
      <c r="J61" s="5"/>
      <c r="K61" s="5"/>
      <c r="L61" s="31"/>
      <c r="N61" t="s">
        <v>7</v>
      </c>
      <c r="O61" t="s">
        <v>21</v>
      </c>
      <c r="P61" s="5"/>
      <c r="Q61" s="5">
        <v>0.522729</v>
      </c>
      <c r="R61" s="5">
        <f>Q65-Q61</f>
        <v>0.34962700000000013</v>
      </c>
      <c r="S61" s="5">
        <f>Q66-Q61</f>
        <v>9.8215000000000052E-2</v>
      </c>
      <c r="T61" s="5"/>
      <c r="U61" s="5"/>
    </row>
    <row r="62" spans="1:21" x14ac:dyDescent="0.25">
      <c r="A62" s="31"/>
      <c r="E62" s="7" t="s">
        <v>2</v>
      </c>
      <c r="F62" s="8" t="s">
        <v>20</v>
      </c>
      <c r="G62" s="10">
        <f>AVERAGE(G58:G61)</f>
        <v>0.19419600000000004</v>
      </c>
      <c r="H62" s="10">
        <f>AVERAGE(H58:H61)</f>
        <v>5.1000000000000018E-2</v>
      </c>
      <c r="I62" s="10">
        <f>AVERAGE(I58:I61)</f>
        <v>0.12599999999999997</v>
      </c>
      <c r="J62" s="10">
        <f>AVERAGE(J58:J61)</f>
        <v>6.4603999999999995E-2</v>
      </c>
      <c r="K62" s="24"/>
      <c r="L62" s="31"/>
      <c r="P62" s="7" t="s">
        <v>2</v>
      </c>
      <c r="Q62" s="8" t="s">
        <v>20</v>
      </c>
      <c r="R62" s="10">
        <f>AVERAGE(R58:R61)</f>
        <v>0.32138600000000012</v>
      </c>
      <c r="S62" s="10">
        <f>AVERAGE(S58:S61)</f>
        <v>6.1113000000000028E-2</v>
      </c>
      <c r="T62" s="10">
        <f>AVERAGE(T58:T61)</f>
        <v>1.5733500000000011E-2</v>
      </c>
      <c r="U62" s="10">
        <f>AVERAGE(U58:U61)</f>
        <v>0.21006300000000006</v>
      </c>
    </row>
    <row r="63" spans="1:21" x14ac:dyDescent="0.25">
      <c r="A63" s="31"/>
      <c r="B63" t="s">
        <v>18</v>
      </c>
      <c r="C63" t="s">
        <v>6</v>
      </c>
      <c r="D63" t="s">
        <v>7</v>
      </c>
      <c r="E63" s="5"/>
      <c r="F63" s="5">
        <v>0.52998400000000001</v>
      </c>
      <c r="G63" s="5"/>
      <c r="H63" s="5"/>
      <c r="I63" s="5"/>
      <c r="J63" s="5">
        <f>F68-F63</f>
        <v>5.2015999999999951E-2</v>
      </c>
      <c r="K63" s="5"/>
      <c r="L63" s="31"/>
      <c r="M63" t="s">
        <v>18</v>
      </c>
      <c r="N63" t="s">
        <v>6</v>
      </c>
      <c r="O63" t="s">
        <v>7</v>
      </c>
      <c r="P63" s="5"/>
      <c r="Q63" s="5">
        <v>0.78145600000000004</v>
      </c>
      <c r="R63" s="5"/>
      <c r="S63" s="5"/>
      <c r="T63" s="5"/>
      <c r="U63" s="5">
        <f>Q68-Q63</f>
        <v>9.2769000000000101E-2</v>
      </c>
    </row>
    <row r="64" spans="1:21" x14ac:dyDescent="0.25">
      <c r="A64" s="31"/>
      <c r="B64" t="s">
        <v>18</v>
      </c>
      <c r="C64" t="s">
        <v>6</v>
      </c>
      <c r="D64" t="s">
        <v>21</v>
      </c>
      <c r="E64" s="5"/>
      <c r="F64" s="5">
        <v>0.53100000000000003</v>
      </c>
      <c r="G64" s="5"/>
      <c r="H64" s="5"/>
      <c r="I64" s="5">
        <f>F68-F64</f>
        <v>5.0999999999999934E-2</v>
      </c>
      <c r="J64" s="5"/>
      <c r="K64" s="5"/>
      <c r="L64" s="31"/>
      <c r="M64" t="s">
        <v>18</v>
      </c>
      <c r="N64" t="s">
        <v>6</v>
      </c>
      <c r="O64" t="s">
        <v>21</v>
      </c>
      <c r="P64" s="5"/>
      <c r="Q64" s="5">
        <v>0.86490000000000011</v>
      </c>
      <c r="R64" s="5"/>
      <c r="S64" s="5"/>
      <c r="T64" s="5">
        <f>Q68-Q64</f>
        <v>9.3250000000000277E-3</v>
      </c>
      <c r="U64" s="5"/>
    </row>
    <row r="65" spans="1:21" x14ac:dyDescent="0.25">
      <c r="A65" s="31"/>
      <c r="B65" t="s">
        <v>18</v>
      </c>
      <c r="C65" t="s">
        <v>7</v>
      </c>
      <c r="D65" t="s">
        <v>21</v>
      </c>
      <c r="E65" s="5"/>
      <c r="F65" s="5">
        <v>0.57599999999999996</v>
      </c>
      <c r="G65" s="5"/>
      <c r="H65" s="5">
        <f>F68-F65</f>
        <v>6.0000000000000053E-3</v>
      </c>
      <c r="I65" s="5"/>
      <c r="J65" s="5"/>
      <c r="K65" s="5"/>
      <c r="L65" s="31"/>
      <c r="M65" t="s">
        <v>18</v>
      </c>
      <c r="N65" t="s">
        <v>7</v>
      </c>
      <c r="O65" t="s">
        <v>21</v>
      </c>
      <c r="P65" s="5"/>
      <c r="Q65" s="5">
        <v>0.87235600000000013</v>
      </c>
      <c r="R65" s="5"/>
      <c r="S65" s="5">
        <f>Q68-Q65</f>
        <v>1.8690000000000095E-3</v>
      </c>
      <c r="T65" s="5"/>
      <c r="U65" s="5"/>
    </row>
    <row r="66" spans="1:21" x14ac:dyDescent="0.25">
      <c r="A66" s="31"/>
      <c r="B66" t="s">
        <v>6</v>
      </c>
      <c r="C66" t="s">
        <v>7</v>
      </c>
      <c r="D66" t="s">
        <v>21</v>
      </c>
      <c r="E66" s="5"/>
      <c r="F66" s="5">
        <v>0.40799999999999997</v>
      </c>
      <c r="G66" s="5">
        <f>F68-F66</f>
        <v>0.17399999999999999</v>
      </c>
      <c r="H66" s="5"/>
      <c r="I66" s="5"/>
      <c r="J66" s="5"/>
      <c r="K66" s="5"/>
      <c r="L66" s="31"/>
      <c r="M66" t="s">
        <v>6</v>
      </c>
      <c r="N66" t="s">
        <v>7</v>
      </c>
      <c r="O66" t="s">
        <v>21</v>
      </c>
      <c r="P66" s="5"/>
      <c r="Q66" s="5">
        <v>0.62094400000000005</v>
      </c>
      <c r="R66" s="5">
        <f>Q68-Q66</f>
        <v>0.25328100000000009</v>
      </c>
      <c r="S66" s="5"/>
      <c r="T66" s="5"/>
      <c r="U66" s="5"/>
    </row>
    <row r="67" spans="1:21" x14ac:dyDescent="0.25">
      <c r="A67" s="31"/>
      <c r="E67" s="7" t="s">
        <v>3</v>
      </c>
      <c r="F67" s="8" t="s">
        <v>20</v>
      </c>
      <c r="G67" s="10">
        <f>AVERAGE(G63:G66)</f>
        <v>0.17399999999999999</v>
      </c>
      <c r="H67" s="10">
        <f>AVERAGE(H63:H66)</f>
        <v>6.0000000000000053E-3</v>
      </c>
      <c r="I67" s="10">
        <f>AVERAGE(I63:I66)</f>
        <v>5.0999999999999934E-2</v>
      </c>
      <c r="J67" s="10">
        <f>AVERAGE(J63:J66)</f>
        <v>5.2015999999999951E-2</v>
      </c>
      <c r="K67" s="24"/>
      <c r="L67" s="31"/>
      <c r="P67" s="7" t="s">
        <v>3</v>
      </c>
      <c r="Q67" s="8" t="s">
        <v>20</v>
      </c>
      <c r="R67" s="10">
        <f>AVERAGE(R63:R66)</f>
        <v>0.25328100000000009</v>
      </c>
      <c r="S67" s="10">
        <f>AVERAGE(S63:S66)</f>
        <v>1.8690000000000095E-3</v>
      </c>
      <c r="T67" s="10">
        <f>AVERAGE(T63:T66)</f>
        <v>9.3250000000000277E-3</v>
      </c>
      <c r="U67" s="10">
        <f>AVERAGE(U63:U66)</f>
        <v>9.2769000000000101E-2</v>
      </c>
    </row>
    <row r="68" spans="1:21" x14ac:dyDescent="0.25">
      <c r="A68" s="31"/>
      <c r="B68" t="s">
        <v>18</v>
      </c>
      <c r="C68" t="s">
        <v>6</v>
      </c>
      <c r="D68" t="s">
        <v>7</v>
      </c>
      <c r="E68" s="5" t="s">
        <v>21</v>
      </c>
      <c r="F68" s="5">
        <v>0.58199999999999996</v>
      </c>
      <c r="G68" s="5"/>
      <c r="H68" s="5"/>
      <c r="I68" s="5"/>
      <c r="J68" s="5"/>
      <c r="K68" s="5"/>
      <c r="L68" s="31"/>
      <c r="M68" t="s">
        <v>18</v>
      </c>
      <c r="N68" t="s">
        <v>6</v>
      </c>
      <c r="O68" t="s">
        <v>7</v>
      </c>
      <c r="P68" s="5" t="s">
        <v>21</v>
      </c>
      <c r="Q68" s="5">
        <v>0.87422500000000014</v>
      </c>
      <c r="R68" s="5"/>
      <c r="S68" s="5"/>
      <c r="T68" s="5"/>
      <c r="U68" s="5"/>
    </row>
    <row r="69" spans="1:21" x14ac:dyDescent="0.25">
      <c r="A69" s="31"/>
      <c r="E69" s="7" t="s">
        <v>5</v>
      </c>
      <c r="F69" s="8"/>
      <c r="G69" s="10">
        <f>AVERAGE(G50,G55,G62,G67)</f>
        <v>0.20683333333333337</v>
      </c>
      <c r="H69" s="10">
        <f>AVERAGE(H50,H55,H62,H67)</f>
        <v>8.3832249999999997E-2</v>
      </c>
      <c r="I69" s="10">
        <f>AVERAGE(I50,I55,I62,I67)</f>
        <v>0.18161233333333329</v>
      </c>
      <c r="J69" s="10">
        <f>AVERAGE(J50,J55,J62,J67)</f>
        <v>0.11611558333333333</v>
      </c>
      <c r="K69" s="24"/>
      <c r="L69" s="31"/>
      <c r="P69" s="7" t="s">
        <v>5</v>
      </c>
      <c r="Q69" s="8"/>
      <c r="R69" s="10">
        <f>AVERAGE(R50,R55,R62,R67)</f>
        <v>0.41097275</v>
      </c>
      <c r="S69" s="10">
        <f>AVERAGE(S50,S55,S62,S67)</f>
        <v>0.14209783333333334</v>
      </c>
      <c r="T69" s="10">
        <f>AVERAGE(T50,T55,T62,T67)</f>
        <v>9.5626625000000021E-2</v>
      </c>
      <c r="U69" s="10">
        <f>AVERAGE(U50,U55,U62,U67)</f>
        <v>0.24400833333333344</v>
      </c>
    </row>
    <row r="73" spans="1:21" x14ac:dyDescent="0.25">
      <c r="F73" s="5"/>
      <c r="G73" s="5"/>
      <c r="H73" s="5"/>
      <c r="I73" s="5"/>
      <c r="J73" s="5"/>
      <c r="K73" s="5"/>
    </row>
    <row r="74" spans="1:21" x14ac:dyDescent="0.25">
      <c r="E74" s="28" t="s">
        <v>16</v>
      </c>
      <c r="F74" s="5"/>
      <c r="G74" s="6" t="s">
        <v>18</v>
      </c>
      <c r="H74" s="6" t="s">
        <v>6</v>
      </c>
      <c r="I74" s="6" t="s">
        <v>7</v>
      </c>
      <c r="J74" s="6" t="s">
        <v>21</v>
      </c>
      <c r="K74" s="6"/>
      <c r="P74" s="28" t="s">
        <v>16</v>
      </c>
      <c r="Q74" s="5"/>
      <c r="R74" s="6" t="s">
        <v>18</v>
      </c>
      <c r="S74" s="6" t="s">
        <v>6</v>
      </c>
      <c r="T74" s="6" t="s">
        <v>7</v>
      </c>
      <c r="U74" s="6" t="s">
        <v>21</v>
      </c>
    </row>
    <row r="75" spans="1:21" x14ac:dyDescent="0.25">
      <c r="E75" s="27"/>
      <c r="F75" s="5" t="s">
        <v>13</v>
      </c>
      <c r="G75" s="11">
        <f>G22</f>
        <v>0.24441658333333333</v>
      </c>
      <c r="H75" s="11">
        <f>H22</f>
        <v>5.927066666666668E-2</v>
      </c>
      <c r="I75" s="11">
        <f>I22</f>
        <v>0.11674466666666668</v>
      </c>
      <c r="J75" s="11">
        <f>J22</f>
        <v>1.0034249999999995E-2</v>
      </c>
      <c r="K75" s="11"/>
      <c r="P75" s="27"/>
      <c r="Q75" s="5" t="s">
        <v>13</v>
      </c>
      <c r="R75" s="11">
        <f>R22</f>
        <v>0.3152476666666667</v>
      </c>
      <c r="S75" s="11">
        <f>S22</f>
        <v>0.17565533333333336</v>
      </c>
      <c r="T75" s="11">
        <f>T22</f>
        <v>5.2044208333333307E-2</v>
      </c>
      <c r="U75" s="11">
        <f>U22</f>
        <v>0.28889683333333332</v>
      </c>
    </row>
    <row r="76" spans="1:21" x14ac:dyDescent="0.25">
      <c r="E76" s="27"/>
      <c r="F76" s="5" t="s">
        <v>14</v>
      </c>
      <c r="G76" s="11">
        <f>G46</f>
        <v>0.32173533333333337</v>
      </c>
      <c r="H76" s="11">
        <f>H46</f>
        <v>9.5987666666666679E-2</v>
      </c>
      <c r="I76" s="11">
        <f>I46</f>
        <v>0.20972858333333336</v>
      </c>
      <c r="J76" s="11">
        <f>J46</f>
        <v>6.3996583333333384E-2</v>
      </c>
      <c r="K76" s="11"/>
      <c r="P76" s="27"/>
      <c r="Q76" s="5" t="s">
        <v>14</v>
      </c>
      <c r="R76" s="11">
        <f>R46</f>
        <v>0.40273999999999999</v>
      </c>
      <c r="S76" s="11">
        <f>S46</f>
        <v>0.17112712499999994</v>
      </c>
      <c r="T76" s="11">
        <f>T46</f>
        <v>6.9568666666666668E-2</v>
      </c>
      <c r="U76" s="11">
        <f>U46</f>
        <v>0.28495891666666662</v>
      </c>
    </row>
    <row r="77" spans="1:21" x14ac:dyDescent="0.25">
      <c r="E77" s="27"/>
      <c r="F77" s="5" t="s">
        <v>15</v>
      </c>
      <c r="G77" s="11">
        <f>G69</f>
        <v>0.20683333333333337</v>
      </c>
      <c r="H77" s="11">
        <f>H69</f>
        <v>8.3832249999999997E-2</v>
      </c>
      <c r="I77" s="11">
        <f>I69</f>
        <v>0.18161233333333329</v>
      </c>
      <c r="J77" s="11">
        <f>J69</f>
        <v>0.11611558333333333</v>
      </c>
      <c r="K77" s="11"/>
      <c r="P77" s="27"/>
      <c r="Q77" s="5" t="s">
        <v>15</v>
      </c>
      <c r="R77" s="11">
        <f>R69</f>
        <v>0.41097275</v>
      </c>
      <c r="S77" s="11">
        <f>S69</f>
        <v>0.14209783333333334</v>
      </c>
      <c r="T77" s="11">
        <f>T69</f>
        <v>9.5626625000000021E-2</v>
      </c>
      <c r="U77" s="11">
        <f>U69</f>
        <v>0.24400833333333344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AFDC-7502-455E-9DA1-D443B7639928}">
  <sheetPr>
    <tabColor theme="9"/>
  </sheetPr>
  <dimension ref="A1:W78"/>
  <sheetViews>
    <sheetView workbookViewId="0"/>
  </sheetViews>
  <sheetFormatPr defaultRowHeight="15" x14ac:dyDescent="0.25"/>
  <cols>
    <col min="1" max="1" width="14.7109375" bestFit="1" customWidth="1"/>
    <col min="5" max="10" width="9.140625" style="3"/>
    <col min="11" max="11" width="9.140625" customWidth="1"/>
    <col min="12" max="12" width="14.7109375" bestFit="1" customWidth="1"/>
    <col min="13" max="15" width="9.140625" customWidth="1"/>
  </cols>
  <sheetData>
    <row r="1" spans="1:23" x14ac:dyDescent="0.25">
      <c r="A1" s="36"/>
      <c r="B1" s="37" t="s">
        <v>24</v>
      </c>
      <c r="C1" s="36"/>
      <c r="D1" s="36"/>
      <c r="E1" s="38"/>
      <c r="F1" s="38"/>
      <c r="G1" s="38"/>
      <c r="H1" s="38"/>
      <c r="I1" s="38"/>
      <c r="J1" s="38"/>
      <c r="L1" s="36"/>
      <c r="M1" s="37" t="s">
        <v>25</v>
      </c>
      <c r="N1" s="36"/>
      <c r="O1" s="36"/>
      <c r="P1" s="36"/>
      <c r="Q1" s="36"/>
      <c r="R1" s="36"/>
      <c r="S1" s="36"/>
      <c r="T1" s="36"/>
      <c r="U1" s="36"/>
    </row>
    <row r="2" spans="1:23" x14ac:dyDescent="0.25">
      <c r="A2" s="41" t="s">
        <v>32</v>
      </c>
      <c r="E2" s="5"/>
      <c r="F2" s="6" t="s">
        <v>4</v>
      </c>
      <c r="G2" s="6" t="s">
        <v>18</v>
      </c>
      <c r="H2" s="6" t="s">
        <v>6</v>
      </c>
      <c r="I2" s="6" t="s">
        <v>7</v>
      </c>
      <c r="J2" s="6" t="s">
        <v>21</v>
      </c>
      <c r="L2" s="41" t="s">
        <v>32</v>
      </c>
      <c r="P2" s="5"/>
      <c r="Q2" s="6" t="s">
        <v>4</v>
      </c>
      <c r="R2" s="6" t="s">
        <v>18</v>
      </c>
      <c r="S2" s="6" t="s">
        <v>6</v>
      </c>
      <c r="T2" s="6" t="s">
        <v>7</v>
      </c>
      <c r="U2" s="6" t="s">
        <v>21</v>
      </c>
    </row>
    <row r="3" spans="1:23" x14ac:dyDescent="0.25">
      <c r="A3" s="41"/>
      <c r="E3" s="7" t="s">
        <v>1</v>
      </c>
      <c r="F3" s="15"/>
      <c r="G3" s="15">
        <f>F4</f>
        <v>0.410881</v>
      </c>
      <c r="H3" s="15">
        <f>F5</f>
        <v>0.18489999999999998</v>
      </c>
      <c r="I3" s="15">
        <f>F6</f>
        <v>0.31696899999999995</v>
      </c>
      <c r="J3" s="16">
        <f>F7</f>
        <v>0.20699999999999999</v>
      </c>
      <c r="L3" s="41"/>
      <c r="P3" s="7" t="s">
        <v>1</v>
      </c>
      <c r="Q3" s="15"/>
      <c r="R3" s="15">
        <f>Q4</f>
        <v>0.52417599999999998</v>
      </c>
      <c r="S3" s="15">
        <f>Q5</f>
        <v>0.33639999999999998</v>
      </c>
      <c r="T3" s="15">
        <f>Q6</f>
        <v>0.19802500000000001</v>
      </c>
      <c r="U3" s="16">
        <f>Q7</f>
        <v>0.41473600000000005</v>
      </c>
    </row>
    <row r="4" spans="1:23" x14ac:dyDescent="0.25">
      <c r="A4" s="41"/>
      <c r="D4" t="s">
        <v>18</v>
      </c>
      <c r="E4" s="5"/>
      <c r="F4" s="12">
        <v>0.410881</v>
      </c>
      <c r="G4" s="12"/>
      <c r="H4" s="12">
        <f>F9-F4</f>
        <v>0.21164000000000011</v>
      </c>
      <c r="I4" s="12">
        <f>F10-F4</f>
        <v>0.23392800000000008</v>
      </c>
      <c r="J4" s="12">
        <f>F11-F4</f>
        <v>0.15811899999999995</v>
      </c>
      <c r="L4" s="41"/>
      <c r="O4" t="s">
        <v>18</v>
      </c>
      <c r="P4" s="5"/>
      <c r="Q4" s="12">
        <v>0.52417599999999998</v>
      </c>
      <c r="R4" s="12"/>
      <c r="S4" s="12">
        <f>Q9-Q4</f>
        <v>6.564800000000004E-2</v>
      </c>
      <c r="T4" s="12">
        <f>Q10-Q4</f>
        <v>7.0265000000000022E-2</v>
      </c>
      <c r="U4" s="12">
        <f>Q11-Q4</f>
        <v>0.17137999999999998</v>
      </c>
      <c r="W4" s="2"/>
    </row>
    <row r="5" spans="1:23" x14ac:dyDescent="0.25">
      <c r="A5" s="41"/>
      <c r="D5" t="s">
        <v>6</v>
      </c>
      <c r="E5" s="5"/>
      <c r="F5" s="12">
        <v>0.18489999999999998</v>
      </c>
      <c r="G5" s="12">
        <f>F9-F5</f>
        <v>0.43762100000000015</v>
      </c>
      <c r="H5" s="12"/>
      <c r="I5" s="12">
        <f>F12-F5</f>
        <v>0.13432499999999994</v>
      </c>
      <c r="J5" s="12">
        <f>F13-F5</f>
        <v>0.1051</v>
      </c>
      <c r="L5" s="41"/>
      <c r="O5" t="s">
        <v>6</v>
      </c>
      <c r="P5" s="5"/>
      <c r="Q5" s="12">
        <v>0.33639999999999998</v>
      </c>
      <c r="R5" s="12">
        <f>Q9-Q5</f>
        <v>0.25342400000000004</v>
      </c>
      <c r="S5" s="12"/>
      <c r="T5" s="12">
        <f>Q12-Q5</f>
        <v>3.4889999999999644E-3</v>
      </c>
      <c r="U5" s="12">
        <f>Q13-Q5</f>
        <v>0.21268100000000006</v>
      </c>
      <c r="W5" s="2"/>
    </row>
    <row r="6" spans="1:23" x14ac:dyDescent="0.25">
      <c r="A6" s="41"/>
      <c r="D6" t="s">
        <v>7</v>
      </c>
      <c r="E6" s="5"/>
      <c r="F6" s="12">
        <v>0.31696899999999995</v>
      </c>
      <c r="G6" s="12">
        <f>F10-F6</f>
        <v>0.32784000000000013</v>
      </c>
      <c r="H6" s="12">
        <f>F12-F6</f>
        <v>2.2559999999999802E-3</v>
      </c>
      <c r="I6" s="12"/>
      <c r="J6" s="12">
        <f>F14-F6</f>
        <v>5.9031000000000056E-2</v>
      </c>
      <c r="L6" s="41"/>
      <c r="O6" t="s">
        <v>7</v>
      </c>
      <c r="P6" s="5"/>
      <c r="Q6" s="12">
        <v>0.19802500000000001</v>
      </c>
      <c r="R6" s="12">
        <f>Q10-Q6</f>
        <v>0.39641599999999999</v>
      </c>
      <c r="S6" s="12">
        <f>Q12-Q6</f>
        <v>0.14186399999999993</v>
      </c>
      <c r="T6" s="12"/>
      <c r="U6" s="12">
        <f>Q14-Q6</f>
        <v>0.24287100000000006</v>
      </c>
      <c r="W6" s="2"/>
    </row>
    <row r="7" spans="1:23" x14ac:dyDescent="0.25">
      <c r="A7" s="41"/>
      <c r="D7" t="s">
        <v>21</v>
      </c>
      <c r="E7" s="5"/>
      <c r="F7" s="12">
        <v>0.20699999999999999</v>
      </c>
      <c r="G7" s="12">
        <f>F11-F7</f>
        <v>0.36199999999999999</v>
      </c>
      <c r="H7" s="12">
        <f>F13-F7</f>
        <v>8.299999999999999E-2</v>
      </c>
      <c r="I7" s="12">
        <f>F14-F7</f>
        <v>0.16900000000000001</v>
      </c>
      <c r="J7" s="12"/>
      <c r="L7" s="41"/>
      <c r="O7" t="s">
        <v>21</v>
      </c>
      <c r="P7" s="5"/>
      <c r="Q7" s="12">
        <v>0.41473600000000005</v>
      </c>
      <c r="R7" s="12">
        <f>Q11-Q7</f>
        <v>0.2808199999999999</v>
      </c>
      <c r="S7" s="12">
        <f>Q13-Q7</f>
        <v>0.13434499999999999</v>
      </c>
      <c r="T7" s="12">
        <f>Q14-Q7</f>
        <v>2.6160000000000017E-2</v>
      </c>
      <c r="U7" s="12"/>
      <c r="W7" s="2"/>
    </row>
    <row r="8" spans="1:23" x14ac:dyDescent="0.25">
      <c r="A8" s="41"/>
      <c r="E8" s="7" t="s">
        <v>0</v>
      </c>
      <c r="F8" s="15" t="s">
        <v>20</v>
      </c>
      <c r="G8" s="15">
        <f>AVERAGE(G4:G7)</f>
        <v>0.37582033333333342</v>
      </c>
      <c r="H8" s="15">
        <f>AVERAGE(H4:H7)</f>
        <v>9.896533333333335E-2</v>
      </c>
      <c r="I8" s="15">
        <f>AVERAGE(I4:I7)</f>
        <v>0.17908433333333337</v>
      </c>
      <c r="J8" s="15">
        <f>AVERAGE(J4:J7)</f>
        <v>0.10741666666666667</v>
      </c>
      <c r="L8" s="41"/>
      <c r="P8" s="7" t="s">
        <v>0</v>
      </c>
      <c r="Q8" s="15" t="s">
        <v>20</v>
      </c>
      <c r="R8" s="15">
        <f>AVERAGE(R4:R7)</f>
        <v>0.31021999999999994</v>
      </c>
      <c r="S8" s="15">
        <f>AVERAGE(S4:S7)</f>
        <v>0.11395233333333332</v>
      </c>
      <c r="T8" s="15">
        <f>AVERAGE(T4:T7)</f>
        <v>3.330466666666667E-2</v>
      </c>
      <c r="U8" s="15">
        <f>AVERAGE(U4:U7)</f>
        <v>0.20897733333333335</v>
      </c>
      <c r="W8" s="2"/>
    </row>
    <row r="9" spans="1:23" x14ac:dyDescent="0.25">
      <c r="A9" s="41"/>
      <c r="C9" t="s">
        <v>18</v>
      </c>
      <c r="D9" t="s">
        <v>6</v>
      </c>
      <c r="E9" s="5"/>
      <c r="F9" s="12">
        <v>0.6225210000000001</v>
      </c>
      <c r="G9" s="12"/>
      <c r="H9" s="12"/>
      <c r="I9" s="12">
        <f>F16-F9</f>
        <v>4.6602999999999839E-2</v>
      </c>
      <c r="J9" s="12">
        <f>F17-F9</f>
        <v>6.2478999999999951E-2</v>
      </c>
      <c r="L9" s="41"/>
      <c r="N9" t="s">
        <v>18</v>
      </c>
      <c r="O9" t="s">
        <v>6</v>
      </c>
      <c r="P9" s="5"/>
      <c r="Q9" s="12">
        <v>0.58982400000000001</v>
      </c>
      <c r="R9" s="12"/>
      <c r="S9" s="12"/>
      <c r="T9" s="12">
        <f>Q16-Q9</f>
        <v>1.5460000000000029E-2</v>
      </c>
      <c r="U9" s="12">
        <f>Q17-Q9</f>
        <v>0.1309769999999999</v>
      </c>
      <c r="W9" s="2"/>
    </row>
    <row r="10" spans="1:23" x14ac:dyDescent="0.25">
      <c r="A10" s="41"/>
      <c r="C10" t="s">
        <v>18</v>
      </c>
      <c r="D10" t="s">
        <v>7</v>
      </c>
      <c r="E10" s="5"/>
      <c r="F10" s="12">
        <v>0.64480900000000008</v>
      </c>
      <c r="G10" s="12"/>
      <c r="H10" s="12">
        <f>F16-F10</f>
        <v>2.4314999999999864E-2</v>
      </c>
      <c r="I10" s="12"/>
      <c r="J10" s="12">
        <f>F18-F10</f>
        <v>4.7190999999999872E-2</v>
      </c>
      <c r="L10" s="41"/>
      <c r="N10" t="s">
        <v>18</v>
      </c>
      <c r="O10" t="s">
        <v>7</v>
      </c>
      <c r="P10" s="5"/>
      <c r="Q10" s="12">
        <v>0.594441</v>
      </c>
      <c r="R10" s="12"/>
      <c r="S10" s="12">
        <f>Q16-Q10</f>
        <v>1.0843000000000047E-2</v>
      </c>
      <c r="T10" s="12"/>
      <c r="U10" s="12">
        <f>Q18-Q10</f>
        <v>0.1111589999999999</v>
      </c>
      <c r="W10" s="2"/>
    </row>
    <row r="11" spans="1:23" x14ac:dyDescent="0.25">
      <c r="A11" s="41"/>
      <c r="C11" t="s">
        <v>18</v>
      </c>
      <c r="D11" t="s">
        <v>21</v>
      </c>
      <c r="E11" s="5"/>
      <c r="F11" s="12">
        <v>0.56899999999999995</v>
      </c>
      <c r="G11" s="12"/>
      <c r="H11" s="12">
        <f>F17-F11</f>
        <v>0.1160000000000001</v>
      </c>
      <c r="I11" s="12">
        <f>F18-F11</f>
        <v>0.123</v>
      </c>
      <c r="J11" s="12"/>
      <c r="L11" s="41"/>
      <c r="N11" t="s">
        <v>18</v>
      </c>
      <c r="O11" t="s">
        <v>21</v>
      </c>
      <c r="P11" s="5"/>
      <c r="Q11" s="12">
        <v>0.69555599999999995</v>
      </c>
      <c r="R11" s="12"/>
      <c r="S11" s="12">
        <f>Q17-Q11</f>
        <v>2.5244999999999962E-2</v>
      </c>
      <c r="T11" s="12">
        <f>Q18-Q11</f>
        <v>1.0043999999999942E-2</v>
      </c>
      <c r="U11" s="12"/>
      <c r="W11" s="2"/>
    </row>
    <row r="12" spans="1:23" x14ac:dyDescent="0.25">
      <c r="A12" s="41"/>
      <c r="C12" t="s">
        <v>6</v>
      </c>
      <c r="D12" t="s">
        <v>7</v>
      </c>
      <c r="E12" s="5"/>
      <c r="F12" s="12">
        <v>0.31922499999999993</v>
      </c>
      <c r="G12" s="12">
        <f>F16-F12</f>
        <v>0.34989900000000002</v>
      </c>
      <c r="H12" s="12"/>
      <c r="I12" s="12"/>
      <c r="J12" s="12">
        <f>F19-F12</f>
        <v>5.7775000000000076E-2</v>
      </c>
      <c r="L12" s="41"/>
      <c r="N12" t="s">
        <v>6</v>
      </c>
      <c r="O12" t="s">
        <v>7</v>
      </c>
      <c r="P12" s="5"/>
      <c r="Q12" s="12">
        <v>0.33988899999999994</v>
      </c>
      <c r="R12" s="12">
        <f>Q16-Q12</f>
        <v>0.2653950000000001</v>
      </c>
      <c r="S12" s="12"/>
      <c r="T12" s="12"/>
      <c r="U12" s="12">
        <f>Q19-Q12</f>
        <v>0.21961500000000006</v>
      </c>
      <c r="W12" s="2"/>
    </row>
    <row r="13" spans="1:23" x14ac:dyDescent="0.25">
      <c r="A13" s="41"/>
      <c r="C13" t="s">
        <v>6</v>
      </c>
      <c r="D13" t="s">
        <v>21</v>
      </c>
      <c r="E13" s="5"/>
      <c r="F13" s="12">
        <v>0.28999999999999998</v>
      </c>
      <c r="G13" s="12">
        <f>F17-F13</f>
        <v>0.39500000000000007</v>
      </c>
      <c r="H13" s="12"/>
      <c r="I13" s="12">
        <f>F19-F13</f>
        <v>8.7000000000000022E-2</v>
      </c>
      <c r="J13" s="12"/>
      <c r="L13" s="41"/>
      <c r="N13" t="s">
        <v>6</v>
      </c>
      <c r="O13" t="s">
        <v>21</v>
      </c>
      <c r="P13" s="5"/>
      <c r="Q13" s="12">
        <v>0.54908100000000004</v>
      </c>
      <c r="R13" s="12">
        <f>Q17-Q13</f>
        <v>0.17171999999999987</v>
      </c>
      <c r="S13" s="12"/>
      <c r="T13" s="12">
        <f>Q19-Q13</f>
        <v>1.042299999999996E-2</v>
      </c>
      <c r="U13" s="12"/>
      <c r="W13" s="2"/>
    </row>
    <row r="14" spans="1:23" x14ac:dyDescent="0.25">
      <c r="A14" s="41"/>
      <c r="C14" t="s">
        <v>7</v>
      </c>
      <c r="D14" t="s">
        <v>21</v>
      </c>
      <c r="E14" s="5"/>
      <c r="F14" s="12">
        <v>0.376</v>
      </c>
      <c r="G14" s="12">
        <f>F18-F14</f>
        <v>0.31599999999999995</v>
      </c>
      <c r="H14" s="12">
        <f>F19-F14</f>
        <v>1.0000000000000009E-3</v>
      </c>
      <c r="I14" s="12"/>
      <c r="J14" s="12"/>
      <c r="L14" s="41"/>
      <c r="N14" t="s">
        <v>7</v>
      </c>
      <c r="O14" t="s">
        <v>21</v>
      </c>
      <c r="P14" s="5"/>
      <c r="Q14" s="12">
        <v>0.44089600000000007</v>
      </c>
      <c r="R14" s="12">
        <f>Q18-Q14</f>
        <v>0.26470399999999983</v>
      </c>
      <c r="S14" s="12">
        <f>Q19-Q14</f>
        <v>0.11860799999999994</v>
      </c>
      <c r="T14" s="12"/>
      <c r="U14" s="12"/>
      <c r="W14" s="2"/>
    </row>
    <row r="15" spans="1:23" x14ac:dyDescent="0.25">
      <c r="A15" s="41"/>
      <c r="E15" s="7" t="s">
        <v>2</v>
      </c>
      <c r="F15" s="15" t="s">
        <v>20</v>
      </c>
      <c r="G15" s="15">
        <f>AVERAGE(G11:G14)</f>
        <v>0.35363300000000003</v>
      </c>
      <c r="H15" s="15">
        <f>AVERAGE(H11:H14)</f>
        <v>5.8500000000000052E-2</v>
      </c>
      <c r="I15" s="15">
        <f>AVERAGE(I11:I14)</f>
        <v>0.10500000000000001</v>
      </c>
      <c r="J15" s="15">
        <f>AVERAGE(J11:J14)</f>
        <v>5.7775000000000076E-2</v>
      </c>
      <c r="L15" s="41"/>
      <c r="P15" s="7" t="s">
        <v>2</v>
      </c>
      <c r="Q15" s="15" t="s">
        <v>20</v>
      </c>
      <c r="R15" s="15">
        <f>AVERAGE(R11:R14)</f>
        <v>0.23393966666666657</v>
      </c>
      <c r="S15" s="15">
        <f>AVERAGE(S11:S14)</f>
        <v>7.1926499999999949E-2</v>
      </c>
      <c r="T15" s="15">
        <f>AVERAGE(T11:T14)</f>
        <v>1.0233499999999951E-2</v>
      </c>
      <c r="U15" s="15">
        <f>AVERAGE(U11:U14)</f>
        <v>0.21961500000000006</v>
      </c>
      <c r="W15" s="2"/>
    </row>
    <row r="16" spans="1:23" x14ac:dyDescent="0.25">
      <c r="A16" s="41"/>
      <c r="B16" t="s">
        <v>18</v>
      </c>
      <c r="C16" t="s">
        <v>6</v>
      </c>
      <c r="D16" t="s">
        <v>7</v>
      </c>
      <c r="E16" s="5"/>
      <c r="F16" s="12">
        <v>0.66912399999999994</v>
      </c>
      <c r="G16" s="12"/>
      <c r="H16" s="12"/>
      <c r="I16" s="12"/>
      <c r="J16" s="12">
        <f>F21-F16</f>
        <v>4.1876000000000024E-2</v>
      </c>
      <c r="L16" s="41"/>
      <c r="M16" t="s">
        <v>18</v>
      </c>
      <c r="N16" t="s">
        <v>6</v>
      </c>
      <c r="O16" t="s">
        <v>7</v>
      </c>
      <c r="P16" s="5"/>
      <c r="Q16" s="12">
        <v>0.60528400000000004</v>
      </c>
      <c r="R16" s="12"/>
      <c r="S16" s="12"/>
      <c r="T16" s="12"/>
      <c r="U16" s="12">
        <f>Q21-Q16</f>
        <v>0.11551699999999987</v>
      </c>
      <c r="W16" s="2"/>
    </row>
    <row r="17" spans="1:23" x14ac:dyDescent="0.25">
      <c r="A17" s="41"/>
      <c r="B17" t="s">
        <v>18</v>
      </c>
      <c r="C17" t="s">
        <v>6</v>
      </c>
      <c r="D17" t="s">
        <v>21</v>
      </c>
      <c r="E17" s="5"/>
      <c r="F17" s="12">
        <v>0.68500000000000005</v>
      </c>
      <c r="G17" s="12"/>
      <c r="H17" s="12"/>
      <c r="I17" s="12">
        <f>F21-F17</f>
        <v>2.5999999999999912E-2</v>
      </c>
      <c r="J17" s="12"/>
      <c r="L17" s="41"/>
      <c r="M17" t="s">
        <v>18</v>
      </c>
      <c r="N17" t="s">
        <v>6</v>
      </c>
      <c r="O17" t="s">
        <v>21</v>
      </c>
      <c r="P17" s="5"/>
      <c r="Q17" s="12">
        <v>0.72080099999999991</v>
      </c>
      <c r="R17" s="12"/>
      <c r="S17" s="12"/>
      <c r="T17" s="12">
        <f>Q21-Q17</f>
        <v>0</v>
      </c>
      <c r="U17" s="12"/>
      <c r="W17" s="2"/>
    </row>
    <row r="18" spans="1:23" x14ac:dyDescent="0.25">
      <c r="A18" s="41"/>
      <c r="B18" t="s">
        <v>18</v>
      </c>
      <c r="C18" t="s">
        <v>7</v>
      </c>
      <c r="D18" t="s">
        <v>21</v>
      </c>
      <c r="E18" s="5"/>
      <c r="F18" s="12">
        <v>0.69199999999999995</v>
      </c>
      <c r="G18" s="12"/>
      <c r="H18" s="12">
        <f>F21-F18</f>
        <v>1.9000000000000017E-2</v>
      </c>
      <c r="I18" s="12"/>
      <c r="J18" s="12"/>
      <c r="L18" s="41"/>
      <c r="M18" t="s">
        <v>18</v>
      </c>
      <c r="N18" t="s">
        <v>7</v>
      </c>
      <c r="O18" t="s">
        <v>21</v>
      </c>
      <c r="P18" s="5"/>
      <c r="Q18" s="12">
        <v>0.70559999999999989</v>
      </c>
      <c r="R18" s="12"/>
      <c r="S18" s="12">
        <f>Q21-Q18</f>
        <v>1.520100000000002E-2</v>
      </c>
      <c r="T18" s="12"/>
      <c r="U18" s="12"/>
      <c r="W18" s="2"/>
    </row>
    <row r="19" spans="1:23" x14ac:dyDescent="0.25">
      <c r="A19" s="41"/>
      <c r="B19" t="s">
        <v>6</v>
      </c>
      <c r="C19" t="s">
        <v>7</v>
      </c>
      <c r="D19" t="s">
        <v>21</v>
      </c>
      <c r="E19" s="5"/>
      <c r="F19" s="12">
        <v>0.377</v>
      </c>
      <c r="G19" s="12">
        <f>F21-F19</f>
        <v>0.33399999999999996</v>
      </c>
      <c r="H19" s="12"/>
      <c r="I19" s="12"/>
      <c r="J19" s="12"/>
      <c r="L19" s="41"/>
      <c r="M19" t="s">
        <v>6</v>
      </c>
      <c r="N19" t="s">
        <v>7</v>
      </c>
      <c r="O19" t="s">
        <v>21</v>
      </c>
      <c r="P19" s="5"/>
      <c r="Q19" s="12">
        <v>0.559504</v>
      </c>
      <c r="R19" s="12">
        <f>Q21-Q19</f>
        <v>0.16129699999999991</v>
      </c>
      <c r="S19" s="12"/>
      <c r="T19" s="12"/>
      <c r="U19" s="12"/>
      <c r="W19" s="2"/>
    </row>
    <row r="20" spans="1:23" x14ac:dyDescent="0.25">
      <c r="A20" s="41"/>
      <c r="E20" s="7" t="s">
        <v>3</v>
      </c>
      <c r="F20" s="15" t="s">
        <v>20</v>
      </c>
      <c r="G20" s="15">
        <f>AVERAGE(G16:G19)</f>
        <v>0.33399999999999996</v>
      </c>
      <c r="H20" s="15">
        <f>AVERAGE(H16:H19)</f>
        <v>1.9000000000000017E-2</v>
      </c>
      <c r="I20" s="15">
        <f>AVERAGE(I16:I19)</f>
        <v>2.5999999999999912E-2</v>
      </c>
      <c r="J20" s="15">
        <f>AVERAGE(J16:J19)</f>
        <v>4.1876000000000024E-2</v>
      </c>
      <c r="L20" s="41"/>
      <c r="P20" s="7" t="s">
        <v>3</v>
      </c>
      <c r="Q20" s="15" t="s">
        <v>20</v>
      </c>
      <c r="R20" s="15">
        <f>AVERAGE(R16:R19)</f>
        <v>0.16129699999999991</v>
      </c>
      <c r="S20" s="15">
        <f>AVERAGE(S16:S19)</f>
        <v>1.520100000000002E-2</v>
      </c>
      <c r="T20" s="15">
        <f>AVERAGE(T16:T19)</f>
        <v>0</v>
      </c>
      <c r="U20" s="15">
        <f>AVERAGE(U16:U19)</f>
        <v>0.11551699999999987</v>
      </c>
      <c r="W20" s="2"/>
    </row>
    <row r="21" spans="1:23" x14ac:dyDescent="0.25">
      <c r="A21" s="41"/>
      <c r="B21" t="s">
        <v>18</v>
      </c>
      <c r="C21" t="s">
        <v>6</v>
      </c>
      <c r="D21" t="s">
        <v>7</v>
      </c>
      <c r="E21" s="5" t="s">
        <v>21</v>
      </c>
      <c r="F21" s="12">
        <v>0.71099999999999997</v>
      </c>
      <c r="G21" s="12"/>
      <c r="H21" s="12"/>
      <c r="I21" s="12"/>
      <c r="J21" s="12"/>
      <c r="L21" s="41"/>
      <c r="M21" t="s">
        <v>18</v>
      </c>
      <c r="N21" t="s">
        <v>6</v>
      </c>
      <c r="O21" t="s">
        <v>7</v>
      </c>
      <c r="P21" s="5" t="s">
        <v>21</v>
      </c>
      <c r="Q21" s="12">
        <v>0.72080099999999991</v>
      </c>
      <c r="R21" s="12"/>
      <c r="S21" s="12"/>
      <c r="T21" s="12"/>
      <c r="U21" s="12"/>
      <c r="W21" s="2"/>
    </row>
    <row r="22" spans="1:23" x14ac:dyDescent="0.25">
      <c r="A22" s="41"/>
      <c r="E22" s="7" t="s">
        <v>5</v>
      </c>
      <c r="F22" s="15"/>
      <c r="G22" s="15">
        <f>AVERAGE(G3,G8,G15,G20)</f>
        <v>0.36858358333333341</v>
      </c>
      <c r="H22" s="15">
        <f>AVERAGE(H3,H8,H15,H20)</f>
        <v>9.0341333333333343E-2</v>
      </c>
      <c r="I22" s="15">
        <f>AVERAGE(I3,I8,I15,I20)</f>
        <v>0.15676333333333331</v>
      </c>
      <c r="J22" s="15">
        <f>AVERAGE(J3,J8,J15,J20)</f>
        <v>0.10351691666666669</v>
      </c>
      <c r="K22" s="32"/>
      <c r="L22" s="41"/>
      <c r="P22" s="7" t="s">
        <v>5</v>
      </c>
      <c r="Q22" s="15"/>
      <c r="R22" s="15">
        <f>AVERAGE(R3,R8,R15,R20)</f>
        <v>0.30740816666666659</v>
      </c>
      <c r="S22" s="15">
        <f>AVERAGE(S3,S8,S15,S20)</f>
        <v>0.13436995833333332</v>
      </c>
      <c r="T22" s="15">
        <f>AVERAGE(T3,T8,T15,T20)</f>
        <v>6.0390791666666659E-2</v>
      </c>
      <c r="U22" s="15">
        <f>AVERAGE(U3,U8,U15,U20)</f>
        <v>0.23971133333333333</v>
      </c>
      <c r="V22" s="32"/>
    </row>
    <row r="24" spans="1:23" x14ac:dyDescent="0.25">
      <c r="I24" s="4"/>
    </row>
    <row r="25" spans="1:23" x14ac:dyDescent="0.25">
      <c r="G25" s="4"/>
      <c r="H25" s="4"/>
      <c r="I25" s="4"/>
      <c r="J25" s="4"/>
      <c r="K25" s="2"/>
      <c r="W25" s="2"/>
    </row>
    <row r="26" spans="1:23" x14ac:dyDescent="0.25">
      <c r="A26" s="42" t="s">
        <v>33</v>
      </c>
      <c r="E26" s="5"/>
      <c r="F26" s="6"/>
      <c r="G26" s="6" t="s">
        <v>18</v>
      </c>
      <c r="H26" s="6" t="s">
        <v>6</v>
      </c>
      <c r="I26" s="6" t="s">
        <v>7</v>
      </c>
      <c r="J26" s="6" t="s">
        <v>21</v>
      </c>
      <c r="L26" s="42" t="s">
        <v>33</v>
      </c>
      <c r="P26" s="5"/>
      <c r="Q26" s="6"/>
      <c r="R26" s="6" t="s">
        <v>18</v>
      </c>
      <c r="S26" s="6" t="s">
        <v>6</v>
      </c>
      <c r="T26" s="6" t="s">
        <v>7</v>
      </c>
      <c r="U26" s="6" t="s">
        <v>21</v>
      </c>
    </row>
    <row r="27" spans="1:23" x14ac:dyDescent="0.25">
      <c r="A27" s="42"/>
      <c r="E27" s="7" t="s">
        <v>1</v>
      </c>
      <c r="F27" s="33"/>
      <c r="G27" s="33">
        <f>F28</f>
        <v>0.31472100000000008</v>
      </c>
      <c r="H27" s="33">
        <f>F29</f>
        <v>0.32035599999999992</v>
      </c>
      <c r="I27" s="33">
        <f>F30</f>
        <v>0.40704400000000002</v>
      </c>
      <c r="J27" s="34">
        <f>F31</f>
        <v>0.247</v>
      </c>
      <c r="L27" s="42"/>
      <c r="P27" s="7" t="s">
        <v>1</v>
      </c>
      <c r="Q27" s="15"/>
      <c r="R27" s="15">
        <f>Q28</f>
        <v>0.570025</v>
      </c>
      <c r="S27" s="15">
        <f>Q29</f>
        <v>0.49280399999999996</v>
      </c>
      <c r="T27" s="15">
        <f>Q30</f>
        <v>0.37088099999999996</v>
      </c>
      <c r="U27" s="16">
        <f>Q31</f>
        <v>0.45427600000000007</v>
      </c>
    </row>
    <row r="28" spans="1:23" x14ac:dyDescent="0.25">
      <c r="A28" s="42"/>
      <c r="D28" t="s">
        <v>18</v>
      </c>
      <c r="E28" s="5"/>
      <c r="F28" s="35">
        <v>0.31472100000000008</v>
      </c>
      <c r="G28" s="35"/>
      <c r="H28" s="35">
        <f>F33-F28</f>
        <v>0.35113499999999981</v>
      </c>
      <c r="I28" s="35">
        <f>F34-F28</f>
        <v>0.32368000000000002</v>
      </c>
      <c r="J28" s="35">
        <f>F35-F28</f>
        <v>0.20027899999999993</v>
      </c>
      <c r="L28" s="42"/>
      <c r="O28" t="s">
        <v>18</v>
      </c>
      <c r="P28" s="5"/>
      <c r="Q28" s="12">
        <v>0.570025</v>
      </c>
      <c r="R28" s="12"/>
      <c r="S28" s="12">
        <f>Q33-Q28</f>
        <v>0.14231099999999997</v>
      </c>
      <c r="T28" s="12">
        <f>Q34-Q28</f>
        <v>0.18166399999999994</v>
      </c>
      <c r="U28" s="12">
        <f>Q35-Q28</f>
        <v>0.18861600000000001</v>
      </c>
      <c r="W28" s="2"/>
    </row>
    <row r="29" spans="1:23" x14ac:dyDescent="0.25">
      <c r="A29" s="42"/>
      <c r="D29" t="s">
        <v>6</v>
      </c>
      <c r="E29" s="5"/>
      <c r="F29" s="35">
        <v>0.32035599999999992</v>
      </c>
      <c r="G29" s="35">
        <f>F33-F29</f>
        <v>0.34549999999999997</v>
      </c>
      <c r="H29" s="35"/>
      <c r="I29" s="35">
        <f>F36-F29</f>
        <v>0.11129300000000014</v>
      </c>
      <c r="J29" s="35">
        <f>F37-F29</f>
        <v>0.10164400000000007</v>
      </c>
      <c r="L29" s="42"/>
      <c r="O29" t="s">
        <v>6</v>
      </c>
      <c r="P29" s="5"/>
      <c r="Q29" s="12">
        <v>0.49280399999999996</v>
      </c>
      <c r="R29" s="12">
        <f>Q33-Q29</f>
        <v>0.219532</v>
      </c>
      <c r="S29" s="12"/>
      <c r="T29" s="12">
        <f>Q36-Q29</f>
        <v>2.7037000000000033E-2</v>
      </c>
      <c r="U29" s="12">
        <f>Q37-Q29</f>
        <v>0.19775700000000002</v>
      </c>
      <c r="W29" s="2"/>
    </row>
    <row r="30" spans="1:23" x14ac:dyDescent="0.25">
      <c r="A30" s="42"/>
      <c r="D30" t="s">
        <v>7</v>
      </c>
      <c r="E30" s="5"/>
      <c r="F30" s="35">
        <v>0.40704400000000002</v>
      </c>
      <c r="G30" s="35">
        <f>F34-F30</f>
        <v>0.23135700000000009</v>
      </c>
      <c r="H30" s="35">
        <f>F36-F30</f>
        <v>2.4605000000000044E-2</v>
      </c>
      <c r="I30" s="35"/>
      <c r="J30" s="35">
        <f>F38-F30</f>
        <v>6.4955999999999958E-2</v>
      </c>
      <c r="L30" s="42"/>
      <c r="O30" t="s">
        <v>7</v>
      </c>
      <c r="P30" s="5"/>
      <c r="Q30" s="12">
        <v>0.37088099999999996</v>
      </c>
      <c r="R30" s="12">
        <f>Q34-Q30</f>
        <v>0.38080799999999998</v>
      </c>
      <c r="S30" s="12">
        <f>Q36-Q30</f>
        <v>0.14896000000000004</v>
      </c>
      <c r="T30" s="12"/>
      <c r="U30" s="12">
        <f>Q38-Q30</f>
        <v>0.19161900000000004</v>
      </c>
      <c r="W30" s="2"/>
    </row>
    <row r="31" spans="1:23" x14ac:dyDescent="0.25">
      <c r="A31" s="42"/>
      <c r="D31" t="s">
        <v>21</v>
      </c>
      <c r="E31" s="5"/>
      <c r="F31" s="35">
        <v>0.247</v>
      </c>
      <c r="G31" s="35">
        <f>F35-F31</f>
        <v>0.26800000000000002</v>
      </c>
      <c r="H31" s="35">
        <f>F37-F31</f>
        <v>0.17499999999999999</v>
      </c>
      <c r="I31" s="35">
        <f>F38-F31</f>
        <v>0.22499999999999998</v>
      </c>
      <c r="J31" s="35"/>
      <c r="L31" s="42"/>
      <c r="O31" t="s">
        <v>21</v>
      </c>
      <c r="P31" s="5"/>
      <c r="Q31" s="12">
        <v>0.45427600000000007</v>
      </c>
      <c r="R31" s="12">
        <f>Q35-Q31</f>
        <v>0.30436499999999994</v>
      </c>
      <c r="S31" s="12">
        <f>Q37-Q31</f>
        <v>0.23628499999999991</v>
      </c>
      <c r="T31" s="12">
        <f>Q38-Q31</f>
        <v>0.10822399999999993</v>
      </c>
      <c r="U31" s="12"/>
      <c r="W31" s="2"/>
    </row>
    <row r="32" spans="1:23" x14ac:dyDescent="0.25">
      <c r="A32" s="42"/>
      <c r="E32" s="7" t="s">
        <v>0</v>
      </c>
      <c r="F32" s="33" t="s">
        <v>20</v>
      </c>
      <c r="G32" s="33">
        <f>AVERAGE(G28:G31)</f>
        <v>0.28161900000000001</v>
      </c>
      <c r="H32" s="33">
        <f>AVERAGE(H28:H31)</f>
        <v>0.18357999999999994</v>
      </c>
      <c r="I32" s="33">
        <f>AVERAGE(I28:I31)</f>
        <v>0.21999100000000005</v>
      </c>
      <c r="J32" s="33">
        <f>AVERAGE(J28:J31)</f>
        <v>0.12229299999999999</v>
      </c>
      <c r="L32" s="42"/>
      <c r="P32" s="7" t="s">
        <v>0</v>
      </c>
      <c r="Q32" s="15" t="s">
        <v>20</v>
      </c>
      <c r="R32" s="15">
        <f>AVERAGE(R28:R31)</f>
        <v>0.30156833333333327</v>
      </c>
      <c r="S32" s="15">
        <f>AVERAGE(S28:S31)</f>
        <v>0.17585199999999998</v>
      </c>
      <c r="T32" s="15">
        <f>AVERAGE(T28:T31)</f>
        <v>0.10564166666666663</v>
      </c>
      <c r="U32" s="15">
        <f>AVERAGE(U28:U31)</f>
        <v>0.19266400000000003</v>
      </c>
      <c r="W32" s="2"/>
    </row>
    <row r="33" spans="1:23" x14ac:dyDescent="0.25">
      <c r="A33" s="42"/>
      <c r="C33" t="s">
        <v>18</v>
      </c>
      <c r="D33" t="s">
        <v>6</v>
      </c>
      <c r="E33" s="5"/>
      <c r="F33" s="35">
        <v>0.66585599999999989</v>
      </c>
      <c r="G33" s="35"/>
      <c r="H33" s="35"/>
      <c r="I33" s="35">
        <f>F40-F33</f>
        <v>3.9744000000000002E-2</v>
      </c>
      <c r="J33" s="35">
        <f>F41-F33</f>
        <v>6.414400000000009E-2</v>
      </c>
      <c r="L33" s="42"/>
      <c r="N33" t="s">
        <v>18</v>
      </c>
      <c r="O33" t="s">
        <v>6</v>
      </c>
      <c r="P33" s="5"/>
      <c r="Q33" s="12">
        <v>0.71233599999999997</v>
      </c>
      <c r="R33" s="12"/>
      <c r="S33" s="12"/>
      <c r="T33" s="12">
        <f>Q40-Q33</f>
        <v>5.3289000000000031E-2</v>
      </c>
      <c r="U33" s="12">
        <f>Q41-Q33</f>
        <v>0.12488900000000014</v>
      </c>
      <c r="W33" s="2"/>
    </row>
    <row r="34" spans="1:23" x14ac:dyDescent="0.25">
      <c r="A34" s="42"/>
      <c r="C34" t="s">
        <v>18</v>
      </c>
      <c r="D34" t="s">
        <v>7</v>
      </c>
      <c r="E34" s="5"/>
      <c r="F34" s="35">
        <v>0.63840100000000011</v>
      </c>
      <c r="G34" s="35"/>
      <c r="H34" s="35">
        <f>F40-F34</f>
        <v>6.7198999999999787E-2</v>
      </c>
      <c r="I34" s="35"/>
      <c r="J34" s="35">
        <f>F42-F34</f>
        <v>5.5598999999999843E-2</v>
      </c>
      <c r="L34" s="42"/>
      <c r="N34" t="s">
        <v>18</v>
      </c>
      <c r="O34" t="s">
        <v>7</v>
      </c>
      <c r="P34" s="5"/>
      <c r="Q34" s="12">
        <v>0.75168899999999994</v>
      </c>
      <c r="R34" s="12"/>
      <c r="S34" s="12">
        <f>Q40-Q34</f>
        <v>1.3936000000000059E-2</v>
      </c>
      <c r="T34" s="12"/>
      <c r="U34" s="12">
        <f>Q42-Q34</f>
        <v>7.8232000000000079E-2</v>
      </c>
      <c r="W34" s="2"/>
    </row>
    <row r="35" spans="1:23" x14ac:dyDescent="0.25">
      <c r="A35" s="42"/>
      <c r="C35" t="s">
        <v>18</v>
      </c>
      <c r="D35" t="s">
        <v>21</v>
      </c>
      <c r="E35" s="5"/>
      <c r="F35" s="35">
        <v>0.51500000000000001</v>
      </c>
      <c r="G35" s="35"/>
      <c r="H35" s="35">
        <f>F41-F35</f>
        <v>0.21499999999999997</v>
      </c>
      <c r="I35" s="35">
        <f>F42-F35</f>
        <v>0.17899999999999994</v>
      </c>
      <c r="J35" s="35"/>
      <c r="L35" s="42"/>
      <c r="N35" t="s">
        <v>18</v>
      </c>
      <c r="O35" t="s">
        <v>21</v>
      </c>
      <c r="P35" s="5"/>
      <c r="Q35" s="12">
        <v>0.75864100000000001</v>
      </c>
      <c r="R35" s="12"/>
      <c r="S35" s="12">
        <f>Q41-Q35</f>
        <v>7.8584000000000098E-2</v>
      </c>
      <c r="T35" s="12">
        <f>Q42-Q35</f>
        <v>7.128000000000001E-2</v>
      </c>
      <c r="U35" s="12"/>
      <c r="W35" s="2"/>
    </row>
    <row r="36" spans="1:23" x14ac:dyDescent="0.25">
      <c r="A36" s="42"/>
      <c r="C36" t="s">
        <v>6</v>
      </c>
      <c r="D36" t="s">
        <v>7</v>
      </c>
      <c r="E36" s="5"/>
      <c r="F36" s="35">
        <v>0.43164900000000006</v>
      </c>
      <c r="G36" s="35">
        <f>F40-F36</f>
        <v>0.27395099999999983</v>
      </c>
      <c r="H36" s="35"/>
      <c r="I36" s="35"/>
      <c r="J36" s="35">
        <f>F43-F36</f>
        <v>5.8350999999999931E-2</v>
      </c>
      <c r="L36" s="42"/>
      <c r="N36" t="s">
        <v>6</v>
      </c>
      <c r="O36" t="s">
        <v>7</v>
      </c>
      <c r="P36" s="5"/>
      <c r="Q36" s="12">
        <v>0.519841</v>
      </c>
      <c r="R36" s="12">
        <f>Q40-Q36</f>
        <v>0.245784</v>
      </c>
      <c r="S36" s="12"/>
      <c r="T36" s="12"/>
      <c r="U36" s="12">
        <f>Q43-Q36</f>
        <v>0.17071999999999998</v>
      </c>
      <c r="W36" s="2"/>
    </row>
    <row r="37" spans="1:23" x14ac:dyDescent="0.25">
      <c r="A37" s="42"/>
      <c r="C37" t="s">
        <v>6</v>
      </c>
      <c r="D37" t="s">
        <v>21</v>
      </c>
      <c r="E37" s="5"/>
      <c r="F37" s="35">
        <v>0.42199999999999999</v>
      </c>
      <c r="G37" s="35">
        <f>F41-F37</f>
        <v>0.308</v>
      </c>
      <c r="H37" s="35"/>
      <c r="I37" s="35">
        <f>F43-F37</f>
        <v>6.8000000000000005E-2</v>
      </c>
      <c r="J37" s="35"/>
      <c r="L37" s="42"/>
      <c r="N37" t="s">
        <v>6</v>
      </c>
      <c r="O37" t="s">
        <v>21</v>
      </c>
      <c r="P37" s="5"/>
      <c r="Q37" s="12">
        <v>0.69056099999999998</v>
      </c>
      <c r="R37" s="12">
        <f>Q41-Q37</f>
        <v>0.14666400000000013</v>
      </c>
      <c r="S37" s="12"/>
      <c r="T37" s="12">
        <f>Q43-Q37</f>
        <v>0</v>
      </c>
      <c r="U37" s="12"/>
      <c r="W37" s="2"/>
    </row>
    <row r="38" spans="1:23" x14ac:dyDescent="0.25">
      <c r="A38" s="42"/>
      <c r="C38" t="s">
        <v>7</v>
      </c>
      <c r="D38" t="s">
        <v>21</v>
      </c>
      <c r="E38" s="5"/>
      <c r="F38" s="35">
        <v>0.47199999999999998</v>
      </c>
      <c r="G38" s="35">
        <f>F42-F38</f>
        <v>0.22199999999999998</v>
      </c>
      <c r="H38" s="35">
        <f>F43-F38</f>
        <v>1.8000000000000016E-2</v>
      </c>
      <c r="I38" s="35"/>
      <c r="J38" s="35"/>
      <c r="L38" s="42"/>
      <c r="N38" t="s">
        <v>7</v>
      </c>
      <c r="O38" t="s">
        <v>21</v>
      </c>
      <c r="P38" s="5"/>
      <c r="Q38" s="12">
        <v>0.5625</v>
      </c>
      <c r="R38" s="12">
        <f>Q42-Q38</f>
        <v>0.26742100000000002</v>
      </c>
      <c r="S38" s="12">
        <f>Q43-Q38</f>
        <v>0.12806099999999998</v>
      </c>
      <c r="T38" s="12"/>
      <c r="U38" s="12"/>
      <c r="W38" s="2"/>
    </row>
    <row r="39" spans="1:23" x14ac:dyDescent="0.25">
      <c r="A39" s="42"/>
      <c r="E39" s="7" t="s">
        <v>2</v>
      </c>
      <c r="F39" s="33" t="s">
        <v>20</v>
      </c>
      <c r="G39" s="33">
        <f>AVERAGE(G35:G38)</f>
        <v>0.26798366666666662</v>
      </c>
      <c r="H39" s="33">
        <f>AVERAGE(H35:H38)</f>
        <v>0.11649999999999999</v>
      </c>
      <c r="I39" s="33">
        <f>AVERAGE(I35:I38)</f>
        <v>0.12349999999999997</v>
      </c>
      <c r="J39" s="33">
        <f>AVERAGE(J35:J38)</f>
        <v>5.8350999999999931E-2</v>
      </c>
      <c r="L39" s="42"/>
      <c r="P39" s="7" t="s">
        <v>2</v>
      </c>
      <c r="Q39" s="15" t="s">
        <v>20</v>
      </c>
      <c r="R39" s="15">
        <f>AVERAGE(R35:R38)</f>
        <v>0.21995633333333339</v>
      </c>
      <c r="S39" s="15">
        <f>AVERAGE(S35:S38)</f>
        <v>0.10332250000000004</v>
      </c>
      <c r="T39" s="15">
        <f>AVERAGE(T35:T38)</f>
        <v>3.5640000000000005E-2</v>
      </c>
      <c r="U39" s="15">
        <f>AVERAGE(U35:U38)</f>
        <v>0.17071999999999998</v>
      </c>
      <c r="W39" s="2"/>
    </row>
    <row r="40" spans="1:23" x14ac:dyDescent="0.25">
      <c r="A40" s="42"/>
      <c r="B40" t="s">
        <v>18</v>
      </c>
      <c r="C40" t="s">
        <v>6</v>
      </c>
      <c r="D40" t="s">
        <v>7</v>
      </c>
      <c r="E40" s="5"/>
      <c r="F40" s="35">
        <v>0.70559999999999989</v>
      </c>
      <c r="G40" s="35"/>
      <c r="H40" s="35"/>
      <c r="I40" s="35"/>
      <c r="J40" s="35">
        <f>F45-F40</f>
        <v>4.4400000000000106E-2</v>
      </c>
      <c r="L40" s="42"/>
      <c r="M40" t="s">
        <v>18</v>
      </c>
      <c r="N40" t="s">
        <v>6</v>
      </c>
      <c r="O40" t="s">
        <v>7</v>
      </c>
      <c r="P40" s="5"/>
      <c r="Q40" s="12">
        <v>0.765625</v>
      </c>
      <c r="R40" s="12"/>
      <c r="S40" s="12"/>
      <c r="T40" s="12"/>
      <c r="U40" s="12">
        <f>Q45-Q40</f>
        <v>8.4459000000000062E-2</v>
      </c>
      <c r="W40" s="2"/>
    </row>
    <row r="41" spans="1:23" x14ac:dyDescent="0.25">
      <c r="A41" s="42"/>
      <c r="B41" t="s">
        <v>18</v>
      </c>
      <c r="C41" t="s">
        <v>6</v>
      </c>
      <c r="D41" t="s">
        <v>21</v>
      </c>
      <c r="E41" s="5"/>
      <c r="F41" s="35">
        <v>0.73</v>
      </c>
      <c r="G41" s="35"/>
      <c r="H41" s="35"/>
      <c r="I41" s="35">
        <f>F45-F41</f>
        <v>2.0000000000000018E-2</v>
      </c>
      <c r="J41" s="35"/>
      <c r="L41" s="42"/>
      <c r="M41" t="s">
        <v>18</v>
      </c>
      <c r="N41" t="s">
        <v>6</v>
      </c>
      <c r="O41" t="s">
        <v>21</v>
      </c>
      <c r="P41" s="5"/>
      <c r="Q41" s="12">
        <v>0.83722500000000011</v>
      </c>
      <c r="R41" s="12"/>
      <c r="S41" s="12"/>
      <c r="T41" s="12">
        <f>Q45-Q41</f>
        <v>1.2858999999999954E-2</v>
      </c>
      <c r="U41" s="12"/>
      <c r="W41" s="2"/>
    </row>
    <row r="42" spans="1:23" x14ac:dyDescent="0.25">
      <c r="A42" s="42"/>
      <c r="B42" t="s">
        <v>18</v>
      </c>
      <c r="C42" t="s">
        <v>7</v>
      </c>
      <c r="D42" t="s">
        <v>21</v>
      </c>
      <c r="E42" s="5"/>
      <c r="F42" s="35">
        <v>0.69399999999999995</v>
      </c>
      <c r="G42" s="35"/>
      <c r="H42" s="35">
        <f>F45-F42</f>
        <v>5.600000000000005E-2</v>
      </c>
      <c r="I42" s="35"/>
      <c r="J42" s="35"/>
      <c r="L42" s="42"/>
      <c r="M42" t="s">
        <v>18</v>
      </c>
      <c r="N42" t="s">
        <v>7</v>
      </c>
      <c r="O42" t="s">
        <v>21</v>
      </c>
      <c r="P42" s="5"/>
      <c r="Q42" s="12">
        <v>0.82992100000000002</v>
      </c>
      <c r="R42" s="12"/>
      <c r="S42" s="12">
        <f>Q45-Q42</f>
        <v>2.0163000000000042E-2</v>
      </c>
      <c r="T42" s="12"/>
      <c r="U42" s="12"/>
      <c r="W42" s="2"/>
    </row>
    <row r="43" spans="1:23" x14ac:dyDescent="0.25">
      <c r="A43" s="42"/>
      <c r="B43" t="s">
        <v>6</v>
      </c>
      <c r="C43" t="s">
        <v>7</v>
      </c>
      <c r="D43" t="s">
        <v>21</v>
      </c>
      <c r="E43" s="5"/>
      <c r="F43" s="35">
        <v>0.49</v>
      </c>
      <c r="G43" s="35">
        <f>F45-F43</f>
        <v>0.26</v>
      </c>
      <c r="H43" s="35"/>
      <c r="I43" s="35"/>
      <c r="J43" s="35"/>
      <c r="L43" s="42"/>
      <c r="M43" t="s">
        <v>6</v>
      </c>
      <c r="N43" t="s">
        <v>7</v>
      </c>
      <c r="O43" t="s">
        <v>21</v>
      </c>
      <c r="P43" s="5"/>
      <c r="Q43" s="12">
        <v>0.69056099999999998</v>
      </c>
      <c r="R43" s="12">
        <f>Q45-Q43</f>
        <v>0.15952300000000008</v>
      </c>
      <c r="S43" s="12"/>
      <c r="T43" s="12"/>
      <c r="U43" s="12"/>
      <c r="W43" s="2"/>
    </row>
    <row r="44" spans="1:23" x14ac:dyDescent="0.25">
      <c r="A44" s="42"/>
      <c r="E44" s="7" t="s">
        <v>3</v>
      </c>
      <c r="F44" s="33" t="s">
        <v>20</v>
      </c>
      <c r="G44" s="33">
        <f>AVERAGE(G40:G43)</f>
        <v>0.26</v>
      </c>
      <c r="H44" s="33">
        <f>AVERAGE(H40:H43)</f>
        <v>5.600000000000005E-2</v>
      </c>
      <c r="I44" s="33">
        <f>AVERAGE(I40:I43)</f>
        <v>2.0000000000000018E-2</v>
      </c>
      <c r="J44" s="33">
        <f>AVERAGE(J40:J43)</f>
        <v>4.4400000000000106E-2</v>
      </c>
      <c r="L44" s="42"/>
      <c r="P44" s="7" t="s">
        <v>3</v>
      </c>
      <c r="Q44" s="15" t="s">
        <v>20</v>
      </c>
      <c r="R44" s="15">
        <f>AVERAGE(R40:R43)</f>
        <v>0.15952300000000008</v>
      </c>
      <c r="S44" s="15">
        <f>AVERAGE(S40:S43)</f>
        <v>2.0163000000000042E-2</v>
      </c>
      <c r="T44" s="15">
        <f>AVERAGE(T40:T43)</f>
        <v>1.2858999999999954E-2</v>
      </c>
      <c r="U44" s="15">
        <f>AVERAGE(U40:U43)</f>
        <v>8.4459000000000062E-2</v>
      </c>
      <c r="W44" s="2"/>
    </row>
    <row r="45" spans="1:23" x14ac:dyDescent="0.25">
      <c r="A45" s="42"/>
      <c r="B45" t="s">
        <v>18</v>
      </c>
      <c r="C45" t="s">
        <v>6</v>
      </c>
      <c r="D45" t="s">
        <v>7</v>
      </c>
      <c r="E45" s="5" t="s">
        <v>21</v>
      </c>
      <c r="F45" s="35">
        <v>0.75</v>
      </c>
      <c r="G45" s="35"/>
      <c r="H45" s="35"/>
      <c r="I45" s="35"/>
      <c r="J45" s="35"/>
      <c r="L45" s="42"/>
      <c r="M45" t="s">
        <v>18</v>
      </c>
      <c r="N45" t="s">
        <v>6</v>
      </c>
      <c r="O45" t="s">
        <v>7</v>
      </c>
      <c r="P45" s="5" t="s">
        <v>21</v>
      </c>
      <c r="Q45" s="12">
        <v>0.85008400000000006</v>
      </c>
      <c r="R45" s="12"/>
      <c r="S45" s="12"/>
      <c r="T45" s="12"/>
      <c r="U45" s="12"/>
      <c r="W45" s="2"/>
    </row>
    <row r="46" spans="1:23" x14ac:dyDescent="0.25">
      <c r="A46" s="42"/>
      <c r="E46" s="7" t="s">
        <v>5</v>
      </c>
      <c r="F46" s="33"/>
      <c r="G46" s="33">
        <f>AVERAGE(G27,G32,G39,G44)</f>
        <v>0.28108091666666668</v>
      </c>
      <c r="H46" s="33">
        <f>AVERAGE(H27,H32,H39,H44)</f>
        <v>0.16910899999999995</v>
      </c>
      <c r="I46" s="33">
        <f>AVERAGE(I27,I32,I39,I44)</f>
        <v>0.19263374999999999</v>
      </c>
      <c r="J46" s="33">
        <f>AVERAGE(J27,J32,J39,J44)</f>
        <v>0.118011</v>
      </c>
      <c r="K46" s="32"/>
      <c r="L46" s="42"/>
      <c r="P46" s="7" t="s">
        <v>5</v>
      </c>
      <c r="Q46" s="15"/>
      <c r="R46" s="15">
        <f>AVERAGE(R27,R32,R39,R44)</f>
        <v>0.31276816666666668</v>
      </c>
      <c r="S46" s="15">
        <f>AVERAGE(S27,S32,S39,S44)</f>
        <v>0.19803537499999999</v>
      </c>
      <c r="T46" s="15">
        <f>AVERAGE(T27,T32,T39,T44)</f>
        <v>0.13125541666666662</v>
      </c>
      <c r="U46" s="15">
        <f>AVERAGE(U27,U32,U39,U44)</f>
        <v>0.22552975000000003</v>
      </c>
      <c r="V46" s="32"/>
    </row>
    <row r="49" spans="1:23" x14ac:dyDescent="0.25">
      <c r="A49" s="43" t="s">
        <v>34</v>
      </c>
      <c r="E49" s="5"/>
      <c r="F49" s="6"/>
      <c r="G49" s="6" t="s">
        <v>18</v>
      </c>
      <c r="H49" s="6" t="s">
        <v>6</v>
      </c>
      <c r="I49" s="6" t="s">
        <v>7</v>
      </c>
      <c r="J49" s="6" t="s">
        <v>21</v>
      </c>
      <c r="L49" s="43" t="s">
        <v>34</v>
      </c>
      <c r="P49" s="5"/>
      <c r="Q49" s="6"/>
      <c r="R49" s="6" t="s">
        <v>18</v>
      </c>
      <c r="S49" s="6" t="s">
        <v>6</v>
      </c>
      <c r="T49" s="6" t="s">
        <v>7</v>
      </c>
      <c r="U49" s="6" t="s">
        <v>21</v>
      </c>
    </row>
    <row r="50" spans="1:23" x14ac:dyDescent="0.25">
      <c r="A50" s="43"/>
      <c r="E50" s="7" t="s">
        <v>1</v>
      </c>
      <c r="F50" s="15"/>
      <c r="G50" s="15">
        <f>F51</f>
        <v>0.17472399999999999</v>
      </c>
      <c r="H50" s="15">
        <f>F52</f>
        <v>0.37209999999999999</v>
      </c>
      <c r="I50" s="15">
        <f>F53</f>
        <v>0.38316099999999997</v>
      </c>
      <c r="J50" s="16">
        <f>F54</f>
        <v>0.22</v>
      </c>
      <c r="L50" s="43"/>
      <c r="P50" s="7" t="s">
        <v>1</v>
      </c>
      <c r="Q50" s="15"/>
      <c r="R50" s="15">
        <f>Q51</f>
        <v>0.45832900000000004</v>
      </c>
      <c r="S50" s="15">
        <f>Q52</f>
        <v>0.50979599999999992</v>
      </c>
      <c r="T50" s="15">
        <f>Q53</f>
        <v>0.45158400000000004</v>
      </c>
      <c r="U50" s="16">
        <f>Q54</f>
        <v>0.36844899999999997</v>
      </c>
    </row>
    <row r="51" spans="1:23" x14ac:dyDescent="0.25">
      <c r="A51" s="43"/>
      <c r="D51" t="s">
        <v>18</v>
      </c>
      <c r="E51" s="5"/>
      <c r="F51" s="12">
        <v>0.17472399999999999</v>
      </c>
      <c r="G51" s="12"/>
      <c r="H51" s="12">
        <f>F56-F51</f>
        <v>0.39681200000000005</v>
      </c>
      <c r="I51" s="12">
        <f>F57-F51</f>
        <v>0.32230099999999995</v>
      </c>
      <c r="J51" s="12">
        <f>F58-F51</f>
        <v>0.186276</v>
      </c>
      <c r="L51" s="43"/>
      <c r="O51" t="s">
        <v>18</v>
      </c>
      <c r="P51" s="5"/>
      <c r="Q51" s="12">
        <v>0.45832900000000004</v>
      </c>
      <c r="R51" s="12"/>
      <c r="S51" s="12">
        <f>Q56-Q51</f>
        <v>0.18969600000000003</v>
      </c>
      <c r="T51" s="12">
        <f>Q57-Q51</f>
        <v>0.26247199999999987</v>
      </c>
      <c r="U51" s="12">
        <f>Q58-Q51</f>
        <v>0.15475999999999995</v>
      </c>
      <c r="W51" s="2"/>
    </row>
    <row r="52" spans="1:23" x14ac:dyDescent="0.25">
      <c r="A52" s="43"/>
      <c r="D52" t="s">
        <v>6</v>
      </c>
      <c r="E52" s="5"/>
      <c r="F52" s="12">
        <v>0.37209999999999999</v>
      </c>
      <c r="G52" s="12">
        <f>F56-F52</f>
        <v>0.19943600000000006</v>
      </c>
      <c r="H52" s="12"/>
      <c r="I52" s="12">
        <f>F59-F52</f>
        <v>6.7469000000000057E-2</v>
      </c>
      <c r="J52" s="12">
        <f>F60-F52</f>
        <v>7.3900000000000021E-2</v>
      </c>
      <c r="L52" s="43"/>
      <c r="O52" t="s">
        <v>6</v>
      </c>
      <c r="P52" s="5"/>
      <c r="Q52" s="12">
        <v>0.50979599999999992</v>
      </c>
      <c r="R52" s="12">
        <f>Q56-Q52</f>
        <v>0.13822900000000016</v>
      </c>
      <c r="S52" s="12"/>
      <c r="T52" s="12">
        <f>Q59-Q52</f>
        <v>5.7213000000000069E-2</v>
      </c>
      <c r="U52" s="12">
        <f>Q60-Q52</f>
        <v>0.13501300000000016</v>
      </c>
      <c r="W52" s="2"/>
    </row>
    <row r="53" spans="1:23" x14ac:dyDescent="0.25">
      <c r="A53" s="43"/>
      <c r="D53" t="s">
        <v>7</v>
      </c>
      <c r="E53" s="5"/>
      <c r="F53" s="12">
        <v>0.38316099999999997</v>
      </c>
      <c r="G53" s="12">
        <f>F57-F53</f>
        <v>0.11386399999999997</v>
      </c>
      <c r="H53" s="12">
        <f>F59-F53</f>
        <v>5.6408000000000069E-2</v>
      </c>
      <c r="I53" s="12"/>
      <c r="J53" s="12">
        <f>F61-F53</f>
        <v>5.3839000000000026E-2</v>
      </c>
      <c r="L53" s="43"/>
      <c r="O53" t="s">
        <v>7</v>
      </c>
      <c r="P53" s="5"/>
      <c r="Q53" s="12">
        <v>0.45158400000000004</v>
      </c>
      <c r="R53" s="12">
        <f>Q57-Q53</f>
        <v>0.26921699999999987</v>
      </c>
      <c r="S53" s="12">
        <f>Q59-Q53</f>
        <v>0.11542499999999994</v>
      </c>
      <c r="T53" s="12"/>
      <c r="U53" s="12">
        <f>Q61-Q53</f>
        <v>0.10791999999999996</v>
      </c>
      <c r="W53" s="2"/>
    </row>
    <row r="54" spans="1:23" x14ac:dyDescent="0.25">
      <c r="A54" s="43"/>
      <c r="D54" t="s">
        <v>21</v>
      </c>
      <c r="E54" s="5"/>
      <c r="F54" s="12">
        <v>0.22</v>
      </c>
      <c r="G54" s="12">
        <f>F58-F54</f>
        <v>0.14099999999999999</v>
      </c>
      <c r="H54" s="12">
        <f>F60-F54</f>
        <v>0.22600000000000001</v>
      </c>
      <c r="I54" s="12">
        <f>F61-F54</f>
        <v>0.217</v>
      </c>
      <c r="J54" s="12"/>
      <c r="L54" s="43"/>
      <c r="O54" t="s">
        <v>21</v>
      </c>
      <c r="P54" s="5"/>
      <c r="Q54" s="12">
        <v>0.36844899999999997</v>
      </c>
      <c r="R54" s="12">
        <f>Q58-Q54</f>
        <v>0.24464000000000002</v>
      </c>
      <c r="S54" s="12">
        <f>Q60-Q54</f>
        <v>0.27636000000000011</v>
      </c>
      <c r="T54" s="12">
        <f>Q61-Q54</f>
        <v>0.19105500000000003</v>
      </c>
      <c r="U54" s="12"/>
      <c r="W54" s="2"/>
    </row>
    <row r="55" spans="1:23" x14ac:dyDescent="0.25">
      <c r="A55" s="43"/>
      <c r="E55" s="7" t="s">
        <v>0</v>
      </c>
      <c r="F55" s="15" t="s">
        <v>20</v>
      </c>
      <c r="G55" s="15">
        <f>AVERAGE(G51:G54)</f>
        <v>0.15143333333333334</v>
      </c>
      <c r="H55" s="15">
        <f>AVERAGE(H51:H54)</f>
        <v>0.22640666666666673</v>
      </c>
      <c r="I55" s="15">
        <f>AVERAGE(I51:I54)</f>
        <v>0.20225666666666667</v>
      </c>
      <c r="J55" s="15">
        <f>AVERAGE(J51:J54)</f>
        <v>0.10467166666666668</v>
      </c>
      <c r="L55" s="43"/>
      <c r="P55" s="7" t="s">
        <v>0</v>
      </c>
      <c r="Q55" s="15" t="s">
        <v>20</v>
      </c>
      <c r="R55" s="15">
        <f>AVERAGE(R51:R54)</f>
        <v>0.21736200000000003</v>
      </c>
      <c r="S55" s="15">
        <f>AVERAGE(S51:S54)</f>
        <v>0.19382700000000005</v>
      </c>
      <c r="T55" s="15">
        <f>AVERAGE(T51:T54)</f>
        <v>0.17024666666666666</v>
      </c>
      <c r="U55" s="15">
        <f>AVERAGE(U51:U54)</f>
        <v>0.13256433333333337</v>
      </c>
      <c r="W55" s="2"/>
    </row>
    <row r="56" spans="1:23" x14ac:dyDescent="0.25">
      <c r="A56" s="43"/>
      <c r="C56" t="s">
        <v>18</v>
      </c>
      <c r="D56" t="s">
        <v>6</v>
      </c>
      <c r="E56" s="5"/>
      <c r="F56" s="12">
        <v>0.57153600000000004</v>
      </c>
      <c r="G56" s="12"/>
      <c r="H56" s="12"/>
      <c r="I56" s="12">
        <f>F63-F56</f>
        <v>2.4448000000000025E-2</v>
      </c>
      <c r="J56" s="12">
        <f>F64-F56</f>
        <v>4.8463999999999952E-2</v>
      </c>
      <c r="L56" s="43"/>
      <c r="N56" t="s">
        <v>18</v>
      </c>
      <c r="O56" t="s">
        <v>6</v>
      </c>
      <c r="P56" s="5"/>
      <c r="Q56" s="12">
        <v>0.64802500000000007</v>
      </c>
      <c r="R56" s="12"/>
      <c r="S56" s="12"/>
      <c r="T56" s="12">
        <f>Q63-Q56</f>
        <v>8.8138999999999856E-2</v>
      </c>
      <c r="U56" s="12">
        <f>Q64-Q56</f>
        <v>8.8138999999999856E-2</v>
      </c>
      <c r="W56" s="2"/>
    </row>
    <row r="57" spans="1:23" x14ac:dyDescent="0.25">
      <c r="A57" s="43"/>
      <c r="C57" t="s">
        <v>18</v>
      </c>
      <c r="D57" t="s">
        <v>7</v>
      </c>
      <c r="E57" s="5"/>
      <c r="F57" s="12">
        <v>0.49702499999999994</v>
      </c>
      <c r="G57" s="12"/>
      <c r="H57" s="12">
        <f>F63-F57</f>
        <v>9.895900000000013E-2</v>
      </c>
      <c r="I57" s="12"/>
      <c r="J57" s="12">
        <f>F65-F57</f>
        <v>4.7975000000000101E-2</v>
      </c>
      <c r="L57" s="43"/>
      <c r="N57" t="s">
        <v>18</v>
      </c>
      <c r="O57" t="s">
        <v>7</v>
      </c>
      <c r="P57" s="5"/>
      <c r="Q57" s="12">
        <v>0.72080099999999991</v>
      </c>
      <c r="R57" s="12"/>
      <c r="S57" s="12">
        <f>Q63-Q57</f>
        <v>1.5363000000000016E-2</v>
      </c>
      <c r="T57" s="12"/>
      <c r="U57" s="12">
        <f>Q65-Q57</f>
        <v>3.7840000000000096E-2</v>
      </c>
      <c r="W57" s="2"/>
    </row>
    <row r="58" spans="1:23" x14ac:dyDescent="0.25">
      <c r="A58" s="43"/>
      <c r="C58" t="s">
        <v>18</v>
      </c>
      <c r="D58" t="s">
        <v>21</v>
      </c>
      <c r="E58" s="5"/>
      <c r="F58" s="12">
        <v>0.36099999999999999</v>
      </c>
      <c r="G58" s="12"/>
      <c r="H58" s="12">
        <f>F64-F58</f>
        <v>0.25900000000000001</v>
      </c>
      <c r="I58" s="12">
        <f>F65-F58</f>
        <v>0.18400000000000005</v>
      </c>
      <c r="J58" s="12"/>
      <c r="L58" s="43"/>
      <c r="N58" t="s">
        <v>18</v>
      </c>
      <c r="O58" t="s">
        <v>21</v>
      </c>
      <c r="P58" s="5"/>
      <c r="Q58" s="12">
        <v>0.613089</v>
      </c>
      <c r="R58" s="12"/>
      <c r="S58" s="12">
        <f>Q64-Q58</f>
        <v>0.12307499999999993</v>
      </c>
      <c r="T58" s="12">
        <f>Q65-Q58</f>
        <v>0.14555200000000001</v>
      </c>
      <c r="U58" s="12"/>
      <c r="W58" s="2"/>
    </row>
    <row r="59" spans="1:23" x14ac:dyDescent="0.25">
      <c r="A59" s="43"/>
      <c r="C59" t="s">
        <v>6</v>
      </c>
      <c r="D59" t="s">
        <v>7</v>
      </c>
      <c r="E59" s="5"/>
      <c r="F59" s="12">
        <v>0.43956900000000004</v>
      </c>
      <c r="G59" s="12">
        <f>F63-F59</f>
        <v>0.15641500000000003</v>
      </c>
      <c r="H59" s="12"/>
      <c r="I59" s="12"/>
      <c r="J59" s="12">
        <f>F66-F59</f>
        <v>4.5430999999999944E-2</v>
      </c>
      <c r="L59" s="43"/>
      <c r="N59" t="s">
        <v>6</v>
      </c>
      <c r="O59" t="s">
        <v>7</v>
      </c>
      <c r="P59" s="5"/>
      <c r="Q59" s="12">
        <v>0.56700899999999999</v>
      </c>
      <c r="R59" s="12">
        <f>Q63-Q59</f>
        <v>0.16915499999999994</v>
      </c>
      <c r="S59" s="12"/>
      <c r="T59" s="12"/>
      <c r="U59" s="12">
        <f>Q66-Q59</f>
        <v>9.3959999999999932E-2</v>
      </c>
      <c r="W59" s="2"/>
    </row>
    <row r="60" spans="1:23" x14ac:dyDescent="0.25">
      <c r="A60" s="43"/>
      <c r="C60" t="s">
        <v>6</v>
      </c>
      <c r="D60" t="s">
        <v>21</v>
      </c>
      <c r="E60" s="5"/>
      <c r="F60" s="12">
        <v>0.44600000000000001</v>
      </c>
      <c r="G60" s="12">
        <f>F64-F60</f>
        <v>0.17399999999999999</v>
      </c>
      <c r="H60" s="12"/>
      <c r="I60" s="12">
        <f>F66-F60</f>
        <v>3.8999999999999979E-2</v>
      </c>
      <c r="J60" s="12"/>
      <c r="L60" s="43"/>
      <c r="N60" t="s">
        <v>6</v>
      </c>
      <c r="O60" t="s">
        <v>21</v>
      </c>
      <c r="P60" s="5"/>
      <c r="Q60" s="12">
        <v>0.64480900000000008</v>
      </c>
      <c r="R60" s="12">
        <f>Q64-Q60</f>
        <v>9.1354999999999853E-2</v>
      </c>
      <c r="S60" s="12"/>
      <c r="T60" s="12">
        <f>Q66-Q60</f>
        <v>1.6159999999999841E-2</v>
      </c>
      <c r="U60" s="12"/>
      <c r="W60" s="2"/>
    </row>
    <row r="61" spans="1:23" x14ac:dyDescent="0.25">
      <c r="A61" s="43"/>
      <c r="C61" t="s">
        <v>7</v>
      </c>
      <c r="D61" t="s">
        <v>21</v>
      </c>
      <c r="E61" s="5"/>
      <c r="F61" s="12">
        <v>0.437</v>
      </c>
      <c r="G61" s="12">
        <f>F65-F61</f>
        <v>0.10800000000000004</v>
      </c>
      <c r="H61" s="12">
        <f>F66-F61</f>
        <v>4.7999999999999987E-2</v>
      </c>
      <c r="I61" s="12"/>
      <c r="J61" s="12"/>
      <c r="L61" s="43"/>
      <c r="N61" t="s">
        <v>7</v>
      </c>
      <c r="O61" t="s">
        <v>21</v>
      </c>
      <c r="P61" s="5"/>
      <c r="Q61" s="12">
        <v>0.559504</v>
      </c>
      <c r="R61" s="12">
        <f>Q65-Q61</f>
        <v>0.19913700000000001</v>
      </c>
      <c r="S61" s="12">
        <f>Q66-Q61</f>
        <v>0.10146499999999992</v>
      </c>
      <c r="T61" s="12"/>
      <c r="U61" s="12"/>
      <c r="W61" s="2"/>
    </row>
    <row r="62" spans="1:23" x14ac:dyDescent="0.25">
      <c r="A62" s="43"/>
      <c r="E62" s="7" t="s">
        <v>2</v>
      </c>
      <c r="F62" s="15" t="s">
        <v>20</v>
      </c>
      <c r="G62" s="15">
        <f>AVERAGE(G58:G61)</f>
        <v>0.14613833333333334</v>
      </c>
      <c r="H62" s="15">
        <f>AVERAGE(H58:H61)</f>
        <v>0.1535</v>
      </c>
      <c r="I62" s="15">
        <f>AVERAGE(I58:I61)</f>
        <v>0.11150000000000002</v>
      </c>
      <c r="J62" s="15">
        <f>AVERAGE(J58:J61)</f>
        <v>4.5430999999999944E-2</v>
      </c>
      <c r="L62" s="43"/>
      <c r="P62" s="7" t="s">
        <v>2</v>
      </c>
      <c r="Q62" s="15" t="s">
        <v>20</v>
      </c>
      <c r="R62" s="15">
        <f>AVERAGE(R58:R61)</f>
        <v>0.15321566666666661</v>
      </c>
      <c r="S62" s="15">
        <f>AVERAGE(S58:S61)</f>
        <v>0.11226999999999993</v>
      </c>
      <c r="T62" s="15">
        <f>AVERAGE(T58:T61)</f>
        <v>8.0855999999999928E-2</v>
      </c>
      <c r="U62" s="15">
        <f>AVERAGE(U58:U61)</f>
        <v>9.3959999999999932E-2</v>
      </c>
      <c r="W62" s="2"/>
    </row>
    <row r="63" spans="1:23" x14ac:dyDescent="0.25">
      <c r="A63" s="43"/>
      <c r="B63" t="s">
        <v>18</v>
      </c>
      <c r="C63" t="s">
        <v>6</v>
      </c>
      <c r="D63" t="s">
        <v>7</v>
      </c>
      <c r="E63" s="5"/>
      <c r="F63" s="12">
        <v>0.59598400000000007</v>
      </c>
      <c r="G63" s="12"/>
      <c r="H63" s="12"/>
      <c r="I63" s="12"/>
      <c r="J63" s="12">
        <f>F68-F63</f>
        <v>3.6015999999999937E-2</v>
      </c>
      <c r="L63" s="43"/>
      <c r="M63" t="s">
        <v>18</v>
      </c>
      <c r="N63" t="s">
        <v>6</v>
      </c>
      <c r="O63" t="s">
        <v>7</v>
      </c>
      <c r="P63" s="5"/>
      <c r="Q63" s="12">
        <v>0.73616399999999993</v>
      </c>
      <c r="R63" s="12"/>
      <c r="S63" s="12"/>
      <c r="T63" s="12"/>
      <c r="U63" s="12">
        <f>Q68-Q63</f>
        <v>3.999700000000006E-2</v>
      </c>
      <c r="W63" s="2"/>
    </row>
    <row r="64" spans="1:23" x14ac:dyDescent="0.25">
      <c r="A64" s="43"/>
      <c r="B64" t="s">
        <v>18</v>
      </c>
      <c r="C64" t="s">
        <v>6</v>
      </c>
      <c r="D64" t="s">
        <v>21</v>
      </c>
      <c r="E64" s="5"/>
      <c r="F64" s="12">
        <v>0.62</v>
      </c>
      <c r="G64" s="12"/>
      <c r="H64" s="12"/>
      <c r="I64" s="12">
        <f>F68-F64</f>
        <v>1.2000000000000011E-2</v>
      </c>
      <c r="J64" s="12"/>
      <c r="L64" s="43"/>
      <c r="M64" t="s">
        <v>18</v>
      </c>
      <c r="N64" t="s">
        <v>6</v>
      </c>
      <c r="O64" t="s">
        <v>21</v>
      </c>
      <c r="P64" s="5"/>
      <c r="Q64" s="12">
        <v>0.73616399999999993</v>
      </c>
      <c r="R64" s="12"/>
      <c r="S64" s="12"/>
      <c r="T64" s="12">
        <f>Q68-Q64</f>
        <v>3.999700000000006E-2</v>
      </c>
      <c r="U64" s="12"/>
      <c r="W64" s="2"/>
    </row>
    <row r="65" spans="1:23" x14ac:dyDescent="0.25">
      <c r="A65" s="43"/>
      <c r="B65" t="s">
        <v>18</v>
      </c>
      <c r="C65" t="s">
        <v>7</v>
      </c>
      <c r="D65" t="s">
        <v>21</v>
      </c>
      <c r="E65" s="5"/>
      <c r="F65" s="12">
        <v>0.54500000000000004</v>
      </c>
      <c r="G65" s="12"/>
      <c r="H65" s="12">
        <f>F68-F65</f>
        <v>8.6999999999999966E-2</v>
      </c>
      <c r="I65" s="12"/>
      <c r="J65" s="12"/>
      <c r="L65" s="43"/>
      <c r="M65" t="s">
        <v>18</v>
      </c>
      <c r="N65" t="s">
        <v>7</v>
      </c>
      <c r="O65" t="s">
        <v>21</v>
      </c>
      <c r="P65" s="5"/>
      <c r="Q65" s="12">
        <v>0.75864100000000001</v>
      </c>
      <c r="R65" s="12"/>
      <c r="S65" s="12">
        <f>Q68-Q65</f>
        <v>1.751999999999998E-2</v>
      </c>
      <c r="T65" s="12"/>
      <c r="U65" s="12"/>
      <c r="W65" s="2"/>
    </row>
    <row r="66" spans="1:23" x14ac:dyDescent="0.25">
      <c r="A66" s="43"/>
      <c r="B66" t="s">
        <v>6</v>
      </c>
      <c r="C66" t="s">
        <v>7</v>
      </c>
      <c r="D66" t="s">
        <v>21</v>
      </c>
      <c r="E66" s="5"/>
      <c r="F66" s="12">
        <v>0.48499999999999999</v>
      </c>
      <c r="G66" s="12">
        <f>F68-F66</f>
        <v>0.14700000000000002</v>
      </c>
      <c r="H66" s="12"/>
      <c r="I66" s="12"/>
      <c r="J66" s="12"/>
      <c r="L66" s="43"/>
      <c r="M66" t="s">
        <v>6</v>
      </c>
      <c r="N66" t="s">
        <v>7</v>
      </c>
      <c r="O66" t="s">
        <v>21</v>
      </c>
      <c r="P66" s="5"/>
      <c r="Q66" s="12">
        <v>0.66096899999999992</v>
      </c>
      <c r="R66" s="12">
        <f>Q68-Q66</f>
        <v>0.11519200000000007</v>
      </c>
      <c r="S66" s="12"/>
      <c r="T66" s="12"/>
      <c r="U66" s="12"/>
      <c r="W66" s="2"/>
    </row>
    <row r="67" spans="1:23" x14ac:dyDescent="0.25">
      <c r="A67" s="43"/>
      <c r="E67" s="7" t="s">
        <v>3</v>
      </c>
      <c r="F67" s="15" t="s">
        <v>20</v>
      </c>
      <c r="G67" s="15">
        <f>AVERAGE(G63:G66)</f>
        <v>0.14700000000000002</v>
      </c>
      <c r="H67" s="15">
        <f>AVERAGE(H63:H66)</f>
        <v>8.6999999999999966E-2</v>
      </c>
      <c r="I67" s="15">
        <f>AVERAGE(I63:I66)</f>
        <v>1.2000000000000011E-2</v>
      </c>
      <c r="J67" s="15">
        <f>AVERAGE(J63:J66)</f>
        <v>3.6015999999999937E-2</v>
      </c>
      <c r="L67" s="43"/>
      <c r="P67" s="7" t="s">
        <v>3</v>
      </c>
      <c r="Q67" s="15" t="s">
        <v>20</v>
      </c>
      <c r="R67" s="15">
        <f>AVERAGE(R63:R66)</f>
        <v>0.11519200000000007</v>
      </c>
      <c r="S67" s="15">
        <f>AVERAGE(S63:S66)</f>
        <v>1.751999999999998E-2</v>
      </c>
      <c r="T67" s="15">
        <f>AVERAGE(T63:T66)</f>
        <v>3.999700000000006E-2</v>
      </c>
      <c r="U67" s="15">
        <f>AVERAGE(U63:U66)</f>
        <v>3.999700000000006E-2</v>
      </c>
      <c r="W67" s="2"/>
    </row>
    <row r="68" spans="1:23" x14ac:dyDescent="0.25">
      <c r="A68" s="43"/>
      <c r="B68" t="s">
        <v>18</v>
      </c>
      <c r="C68" t="s">
        <v>6</v>
      </c>
      <c r="D68" t="s">
        <v>7</v>
      </c>
      <c r="E68" s="5" t="s">
        <v>21</v>
      </c>
      <c r="F68" s="12">
        <v>0.63200000000000001</v>
      </c>
      <c r="G68" s="12"/>
      <c r="H68" s="12"/>
      <c r="I68" s="12"/>
      <c r="J68" s="12"/>
      <c r="L68" s="43"/>
      <c r="M68" t="s">
        <v>18</v>
      </c>
      <c r="N68" t="s">
        <v>6</v>
      </c>
      <c r="O68" t="s">
        <v>7</v>
      </c>
      <c r="P68" s="5" t="s">
        <v>21</v>
      </c>
      <c r="Q68" s="12">
        <v>0.77616099999999999</v>
      </c>
      <c r="R68" s="12"/>
      <c r="S68" s="12"/>
      <c r="T68" s="12"/>
      <c r="U68" s="12"/>
      <c r="W68" s="2"/>
    </row>
    <row r="69" spans="1:23" x14ac:dyDescent="0.25">
      <c r="A69" s="43"/>
      <c r="E69" s="7" t="s">
        <v>5</v>
      </c>
      <c r="F69" s="15"/>
      <c r="G69" s="15">
        <f>AVERAGE(G50,G55,G62,G67)</f>
        <v>0.15482391666666667</v>
      </c>
      <c r="H69" s="15">
        <f>AVERAGE(H50,H55,H62,H67)</f>
        <v>0.20975166666666667</v>
      </c>
      <c r="I69" s="15">
        <f>AVERAGE(I50,I55,I62,I67)</f>
        <v>0.17722941666666667</v>
      </c>
      <c r="J69" s="15">
        <f>AVERAGE(J50,J55,J62,J67)</f>
        <v>0.10152966666666664</v>
      </c>
      <c r="K69" s="32"/>
      <c r="L69" s="43"/>
      <c r="P69" s="7" t="s">
        <v>5</v>
      </c>
      <c r="Q69" s="15"/>
      <c r="R69" s="15">
        <f>AVERAGE(R50,R55,R62,R67)</f>
        <v>0.23602466666666669</v>
      </c>
      <c r="S69" s="15">
        <f>AVERAGE(S50,S55,S62,S67)</f>
        <v>0.20835324999999999</v>
      </c>
      <c r="T69" s="15">
        <f>AVERAGE(T50,T55,T62,T67)</f>
        <v>0.18567091666666666</v>
      </c>
      <c r="U69" s="15">
        <f>AVERAGE(U50,U55,U62,U67)</f>
        <v>0.15874258333333333</v>
      </c>
      <c r="V69" s="32"/>
    </row>
    <row r="73" spans="1:23" x14ac:dyDescent="0.25">
      <c r="F73" s="5"/>
      <c r="G73" s="5"/>
      <c r="H73" s="5"/>
      <c r="I73" s="5"/>
      <c r="J73" s="5"/>
      <c r="K73" s="5"/>
    </row>
    <row r="74" spans="1:23" x14ac:dyDescent="0.25">
      <c r="E74" s="39" t="s">
        <v>16</v>
      </c>
      <c r="F74" s="5"/>
      <c r="G74" s="6" t="s">
        <v>18</v>
      </c>
      <c r="H74" s="6" t="s">
        <v>6</v>
      </c>
      <c r="I74" s="6" t="s">
        <v>7</v>
      </c>
      <c r="J74" s="6" t="s">
        <v>21</v>
      </c>
      <c r="K74" s="5"/>
      <c r="M74" s="5"/>
      <c r="N74" s="5"/>
      <c r="O74" s="5"/>
      <c r="P74" s="39" t="s">
        <v>16</v>
      </c>
      <c r="Q74" s="5"/>
      <c r="R74" s="6" t="s">
        <v>18</v>
      </c>
      <c r="S74" s="6" t="s">
        <v>6</v>
      </c>
      <c r="T74" s="6" t="s">
        <v>7</v>
      </c>
      <c r="U74" s="6" t="s">
        <v>21</v>
      </c>
    </row>
    <row r="75" spans="1:23" x14ac:dyDescent="0.25">
      <c r="E75" s="40"/>
      <c r="F75" s="5" t="s">
        <v>13</v>
      </c>
      <c r="G75" s="12">
        <f>G22</f>
        <v>0.36858358333333341</v>
      </c>
      <c r="H75" s="12">
        <f>H22</f>
        <v>9.0341333333333343E-2</v>
      </c>
      <c r="I75" s="12">
        <f>I22</f>
        <v>0.15676333333333331</v>
      </c>
      <c r="J75" s="12">
        <f>J22</f>
        <v>0.10351691666666669</v>
      </c>
      <c r="K75" s="5"/>
      <c r="M75" s="5"/>
      <c r="N75" s="5"/>
      <c r="O75" s="5"/>
      <c r="P75" s="40"/>
      <c r="Q75" s="5" t="s">
        <v>13</v>
      </c>
      <c r="R75" s="12">
        <f>R22</f>
        <v>0.30740816666666659</v>
      </c>
      <c r="S75" s="12">
        <f>S22</f>
        <v>0.13436995833333332</v>
      </c>
      <c r="T75" s="12">
        <f>T22</f>
        <v>6.0390791666666659E-2</v>
      </c>
      <c r="U75" s="12">
        <f>U22</f>
        <v>0.23971133333333333</v>
      </c>
    </row>
    <row r="76" spans="1:23" x14ac:dyDescent="0.25">
      <c r="E76" s="40"/>
      <c r="F76" s="5" t="s">
        <v>14</v>
      </c>
      <c r="G76" s="12">
        <f>G46</f>
        <v>0.28108091666666668</v>
      </c>
      <c r="H76" s="12">
        <f>H46</f>
        <v>0.16910899999999995</v>
      </c>
      <c r="I76" s="12">
        <f>I46</f>
        <v>0.19263374999999999</v>
      </c>
      <c r="J76" s="12">
        <f>J46</f>
        <v>0.118011</v>
      </c>
      <c r="K76" s="5"/>
      <c r="M76" s="5"/>
      <c r="N76" s="5"/>
      <c r="O76" s="5"/>
      <c r="P76" s="40"/>
      <c r="Q76" s="5" t="s">
        <v>14</v>
      </c>
      <c r="R76" s="12">
        <f>R46</f>
        <v>0.31276816666666668</v>
      </c>
      <c r="S76" s="12">
        <f>S46</f>
        <v>0.19803537499999999</v>
      </c>
      <c r="T76" s="12">
        <f>T46</f>
        <v>0.13125541666666662</v>
      </c>
      <c r="U76" s="12">
        <f>U46</f>
        <v>0.22552975000000003</v>
      </c>
    </row>
    <row r="77" spans="1:23" x14ac:dyDescent="0.25">
      <c r="E77" s="40"/>
      <c r="F77" s="5" t="s">
        <v>15</v>
      </c>
      <c r="G77" s="12">
        <f>G69</f>
        <v>0.15482391666666667</v>
      </c>
      <c r="H77" s="12">
        <f>H69</f>
        <v>0.20975166666666667</v>
      </c>
      <c r="I77" s="12">
        <f>I69</f>
        <v>0.17722941666666667</v>
      </c>
      <c r="J77" s="12">
        <f>J69</f>
        <v>0.10152966666666664</v>
      </c>
      <c r="K77" s="5"/>
      <c r="M77" s="5"/>
      <c r="N77" s="5"/>
      <c r="O77" s="5"/>
      <c r="P77" s="40"/>
      <c r="Q77" s="5" t="s">
        <v>15</v>
      </c>
      <c r="R77" s="12">
        <f>R69</f>
        <v>0.23602466666666669</v>
      </c>
      <c r="S77" s="12">
        <f>S69</f>
        <v>0.20835324999999999</v>
      </c>
      <c r="T77" s="12">
        <f>T69</f>
        <v>0.18567091666666666</v>
      </c>
      <c r="U77" s="12">
        <f>U69</f>
        <v>0.15874258333333333</v>
      </c>
    </row>
    <row r="78" spans="1:23" x14ac:dyDescent="0.25">
      <c r="E78" s="5"/>
      <c r="F78" s="5"/>
      <c r="G78" s="5"/>
      <c r="H78" s="12"/>
      <c r="I78" s="5"/>
      <c r="J78" s="5"/>
      <c r="K78" s="5"/>
      <c r="M78" s="5"/>
      <c r="N78" s="5"/>
      <c r="O78" s="5"/>
      <c r="P78" s="5"/>
      <c r="Q78" s="5"/>
      <c r="R78" s="5"/>
      <c r="S78" s="11"/>
      <c r="T78" s="5"/>
      <c r="U78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57FC-2CEB-4751-92E7-BD5F79366AE4}">
  <dimension ref="B1:O46"/>
  <sheetViews>
    <sheetView workbookViewId="0"/>
  </sheetViews>
  <sheetFormatPr defaultRowHeight="15" x14ac:dyDescent="0.25"/>
  <sheetData>
    <row r="1" spans="2:15" x14ac:dyDescent="0.25">
      <c r="C1" s="1" t="s">
        <v>12</v>
      </c>
      <c r="K1" s="1" t="s">
        <v>11</v>
      </c>
    </row>
    <row r="2" spans="2:15" x14ac:dyDescent="0.25">
      <c r="B2" s="1"/>
      <c r="J2" s="1"/>
    </row>
    <row r="3" spans="2:15" x14ac:dyDescent="0.25">
      <c r="B3" t="s">
        <v>35</v>
      </c>
      <c r="D3" t="s">
        <v>23</v>
      </c>
      <c r="E3" t="s">
        <v>8</v>
      </c>
      <c r="F3" t="s">
        <v>9</v>
      </c>
      <c r="G3" t="s">
        <v>22</v>
      </c>
      <c r="J3" t="s">
        <v>35</v>
      </c>
      <c r="L3" t="s">
        <v>23</v>
      </c>
      <c r="M3" t="s">
        <v>8</v>
      </c>
      <c r="N3" t="s">
        <v>9</v>
      </c>
      <c r="O3" t="s">
        <v>22</v>
      </c>
    </row>
    <row r="4" spans="2:15" x14ac:dyDescent="0.25">
      <c r="C4" t="s">
        <v>13</v>
      </c>
      <c r="D4" s="2">
        <f>'Dominance_D1-SR'!G75</f>
        <v>0.16275066666666665</v>
      </c>
      <c r="E4" s="2">
        <f>'Dominance_D1-SR'!H75</f>
        <v>7.0420833333333335E-2</v>
      </c>
      <c r="F4" s="2">
        <f>'Dominance_D1-SR'!I75</f>
        <v>0.11485241666666668</v>
      </c>
      <c r="G4" s="2">
        <f>'Dominance_D1-SR'!J75</f>
        <v>3.6363416666666662E-2</v>
      </c>
      <c r="H4" s="2"/>
      <c r="K4" t="s">
        <v>13</v>
      </c>
      <c r="L4" s="2">
        <f>'Dominance_D1-SR'!R75</f>
        <v>0.19311533333333339</v>
      </c>
      <c r="M4" s="2">
        <f>'Dominance_D1-SR'!S75</f>
        <v>0.17987920833333335</v>
      </c>
      <c r="N4" s="2">
        <f>'Dominance_D1-SR'!T75</f>
        <v>0.12373270833333333</v>
      </c>
      <c r="O4" s="2">
        <f>'Dominance_D1-SR'!U75</f>
        <v>0.31081816666666662</v>
      </c>
    </row>
    <row r="5" spans="2:15" x14ac:dyDescent="0.25">
      <c r="C5" t="s">
        <v>14</v>
      </c>
      <c r="D5" s="2">
        <f>'Dominance_D1-SR'!G76</f>
        <v>0.22806483449423859</v>
      </c>
      <c r="E5" s="2">
        <f>'Dominance_D1-SR'!H76</f>
        <v>0.11624850116090524</v>
      </c>
      <c r="F5" s="2">
        <f>'Dominance_D1-SR'!I76</f>
        <v>0.22128050116090528</v>
      </c>
      <c r="G5" s="2">
        <f>'Dominance_D1-SR'!J76</f>
        <v>9.5614163183950912E-2</v>
      </c>
      <c r="H5" s="2"/>
      <c r="K5" t="s">
        <v>14</v>
      </c>
      <c r="L5" s="2">
        <f>'Dominance_D1-SR'!R76</f>
        <v>0.14426908333333327</v>
      </c>
      <c r="M5" s="2">
        <f>'Dominance_D1-SR'!S76</f>
        <v>0.12738737500000002</v>
      </c>
      <c r="N5" s="2">
        <f>'Dominance_D1-SR'!T76</f>
        <v>0.10546700000000001</v>
      </c>
      <c r="O5" s="2">
        <f>'Dominance_D1-SR'!U76</f>
        <v>0.3316967500000001</v>
      </c>
    </row>
    <row r="6" spans="2:15" x14ac:dyDescent="0.25">
      <c r="C6" t="s">
        <v>15</v>
      </c>
      <c r="D6" s="2">
        <f>'Dominance_D1-SR'!G77</f>
        <v>0.25902608333333332</v>
      </c>
      <c r="E6" s="2">
        <f>'Dominance_D1-SR'!H77</f>
        <v>0.11862658333333331</v>
      </c>
      <c r="F6" s="2">
        <f>'Dominance_D1-SR'!I77</f>
        <v>0.23979758333333334</v>
      </c>
      <c r="G6" s="2">
        <f>'Dominance_D1-SR'!J77</f>
        <v>9.2053916666666652E-2</v>
      </c>
      <c r="H6" s="2"/>
      <c r="K6" t="s">
        <v>15</v>
      </c>
      <c r="L6" s="2">
        <f>'Dominance_D1-SR'!R77</f>
        <v>6.3424416666666678E-2</v>
      </c>
      <c r="M6" s="2">
        <f>'Dominance_D1-SR'!S77</f>
        <v>8.2179916666666644E-2</v>
      </c>
      <c r="N6" s="2">
        <f>'Dominance_D1-SR'!T77</f>
        <v>8.6037874999999986E-2</v>
      </c>
      <c r="O6" s="2">
        <f>'Dominance_D1-SR'!U77</f>
        <v>0.27783083333333336</v>
      </c>
    </row>
    <row r="7" spans="2:15" x14ac:dyDescent="0.25">
      <c r="D7" s="2"/>
      <c r="E7" s="2"/>
      <c r="F7" s="2"/>
      <c r="G7" s="2"/>
      <c r="H7" s="2"/>
      <c r="L7" s="2"/>
      <c r="M7" s="2"/>
      <c r="N7" s="2"/>
      <c r="O7" s="2"/>
    </row>
    <row r="8" spans="2:15" x14ac:dyDescent="0.25">
      <c r="B8" t="s">
        <v>36</v>
      </c>
      <c r="D8" t="s">
        <v>23</v>
      </c>
      <c r="E8" t="s">
        <v>8</v>
      </c>
      <c r="F8" t="s">
        <v>9</v>
      </c>
      <c r="G8" t="s">
        <v>22</v>
      </c>
      <c r="J8" t="s">
        <v>36</v>
      </c>
      <c r="L8" t="s">
        <v>23</v>
      </c>
      <c r="M8" t="s">
        <v>8</v>
      </c>
      <c r="N8" t="s">
        <v>9</v>
      </c>
      <c r="O8" t="s">
        <v>22</v>
      </c>
    </row>
    <row r="9" spans="2:15" x14ac:dyDescent="0.25">
      <c r="C9" t="s">
        <v>13</v>
      </c>
      <c r="D9" s="2">
        <f>'Dominance_D2-NM'!G75</f>
        <v>0.24441658333333333</v>
      </c>
      <c r="E9" s="2">
        <f>'Dominance_D2-NM'!H75</f>
        <v>5.927066666666668E-2</v>
      </c>
      <c r="F9" s="2">
        <f>'Dominance_D2-NM'!I75</f>
        <v>0.11674466666666668</v>
      </c>
      <c r="G9" s="2">
        <f>'Dominance_D2-NM'!J75</f>
        <v>1.0034249999999995E-2</v>
      </c>
      <c r="H9" s="2"/>
      <c r="K9" t="s">
        <v>13</v>
      </c>
      <c r="L9" s="2">
        <f>'Dominance_D2-NM'!R75</f>
        <v>0.3152476666666667</v>
      </c>
      <c r="M9" s="2">
        <f>'Dominance_D2-NM'!S75</f>
        <v>0.17565533333333336</v>
      </c>
      <c r="N9" s="2">
        <f>'Dominance_D2-NM'!T75</f>
        <v>5.2044208333333307E-2</v>
      </c>
      <c r="O9" s="2">
        <f>'Dominance_D2-NM'!U75</f>
        <v>0.28889683333333332</v>
      </c>
    </row>
    <row r="10" spans="2:15" x14ac:dyDescent="0.25">
      <c r="C10" t="s">
        <v>14</v>
      </c>
      <c r="D10" s="2">
        <f>'Dominance_D2-NM'!G76</f>
        <v>0.32173533333333337</v>
      </c>
      <c r="E10" s="2">
        <f>'Dominance_D2-NM'!H76</f>
        <v>9.5987666666666679E-2</v>
      </c>
      <c r="F10" s="2">
        <f>'Dominance_D2-NM'!I76</f>
        <v>0.20972858333333336</v>
      </c>
      <c r="G10" s="2">
        <f>'Dominance_D2-NM'!J76</f>
        <v>6.3996583333333384E-2</v>
      </c>
      <c r="H10" s="2"/>
      <c r="K10" t="s">
        <v>14</v>
      </c>
      <c r="L10" s="2">
        <f>'Dominance_D2-NM'!R76</f>
        <v>0.40273999999999999</v>
      </c>
      <c r="M10" s="2">
        <f>'Dominance_D2-NM'!S76</f>
        <v>0.17112712499999994</v>
      </c>
      <c r="N10" s="2">
        <f>'Dominance_D2-NM'!T76</f>
        <v>6.9568666666666668E-2</v>
      </c>
      <c r="O10" s="2">
        <f>'Dominance_D2-NM'!U76</f>
        <v>0.28495891666666662</v>
      </c>
    </row>
    <row r="11" spans="2:15" x14ac:dyDescent="0.25">
      <c r="C11" t="s">
        <v>15</v>
      </c>
      <c r="D11" s="2">
        <f>'Dominance_D2-NM'!G77</f>
        <v>0.20683333333333337</v>
      </c>
      <c r="E11" s="2">
        <f>'Dominance_D2-NM'!H77</f>
        <v>8.3832249999999997E-2</v>
      </c>
      <c r="F11" s="2">
        <f>'Dominance_D2-NM'!I77</f>
        <v>0.18161233333333329</v>
      </c>
      <c r="G11" s="2">
        <f>'Dominance_D2-NM'!J77</f>
        <v>0.11611558333333333</v>
      </c>
      <c r="H11" s="2"/>
      <c r="K11" t="s">
        <v>15</v>
      </c>
      <c r="L11" s="2">
        <f>'Dominance_D2-NM'!R77</f>
        <v>0.41097275</v>
      </c>
      <c r="M11" s="2">
        <f>'Dominance_D2-NM'!S77</f>
        <v>0.14209783333333334</v>
      </c>
      <c r="N11" s="2">
        <f>'Dominance_D2-NM'!T77</f>
        <v>9.5626625000000021E-2</v>
      </c>
      <c r="O11" s="2">
        <f>'Dominance_D2-NM'!U77</f>
        <v>0.24400833333333344</v>
      </c>
    </row>
    <row r="12" spans="2:15" x14ac:dyDescent="0.25">
      <c r="D12" s="2"/>
      <c r="E12" s="2"/>
      <c r="F12" s="2"/>
      <c r="G12" s="2"/>
      <c r="H12" s="2"/>
      <c r="L12" s="2"/>
      <c r="M12" s="2"/>
      <c r="N12" s="2"/>
      <c r="O12" s="2"/>
    </row>
    <row r="13" spans="2:15" x14ac:dyDescent="0.25">
      <c r="B13" t="s">
        <v>37</v>
      </c>
      <c r="D13" t="s">
        <v>23</v>
      </c>
      <c r="E13" t="s">
        <v>8</v>
      </c>
      <c r="F13" t="s">
        <v>9</v>
      </c>
      <c r="G13" t="s">
        <v>22</v>
      </c>
      <c r="J13" t="s">
        <v>37</v>
      </c>
      <c r="L13" t="s">
        <v>23</v>
      </c>
      <c r="M13" t="s">
        <v>8</v>
      </c>
      <c r="N13" t="s">
        <v>9</v>
      </c>
      <c r="O13" t="s">
        <v>22</v>
      </c>
    </row>
    <row r="14" spans="2:15" x14ac:dyDescent="0.25">
      <c r="C14" t="s">
        <v>13</v>
      </c>
      <c r="D14" s="2">
        <f>'Dominance_D3-SR+NM'!G75</f>
        <v>0.36858358333333341</v>
      </c>
      <c r="E14" s="2">
        <f>'Dominance_D3-SR+NM'!H75</f>
        <v>9.0341333333333343E-2</v>
      </c>
      <c r="F14" s="2">
        <f>'Dominance_D3-SR+NM'!I75</f>
        <v>0.15676333333333331</v>
      </c>
      <c r="G14" s="2">
        <f>'Dominance_D3-SR+NM'!J75</f>
        <v>0.10351691666666669</v>
      </c>
      <c r="H14" s="2"/>
      <c r="K14" t="s">
        <v>13</v>
      </c>
      <c r="L14" s="2">
        <f>'Dominance_D3-SR+NM'!R75</f>
        <v>0.30740816666666659</v>
      </c>
      <c r="M14" s="2">
        <f>'Dominance_D3-SR+NM'!S75</f>
        <v>0.13436995833333332</v>
      </c>
      <c r="N14" s="2">
        <f>'Dominance_D3-SR+NM'!T75</f>
        <v>6.0390791666666659E-2</v>
      </c>
      <c r="O14" s="2">
        <f>'Dominance_D3-SR+NM'!U75</f>
        <v>0.23971133333333333</v>
      </c>
    </row>
    <row r="15" spans="2:15" x14ac:dyDescent="0.25">
      <c r="C15" t="s">
        <v>14</v>
      </c>
      <c r="D15" s="2">
        <f>'Dominance_D3-SR+NM'!G76</f>
        <v>0.28108091666666668</v>
      </c>
      <c r="E15" s="2">
        <f>'Dominance_D3-SR+NM'!H76</f>
        <v>0.16910899999999995</v>
      </c>
      <c r="F15" s="2">
        <f>'Dominance_D3-SR+NM'!I76</f>
        <v>0.19263374999999999</v>
      </c>
      <c r="G15" s="2">
        <f>'Dominance_D3-SR+NM'!J76</f>
        <v>0.118011</v>
      </c>
      <c r="H15" s="2"/>
      <c r="K15" t="s">
        <v>14</v>
      </c>
      <c r="L15" s="2">
        <f>'Dominance_D3-SR+NM'!R76</f>
        <v>0.31276816666666668</v>
      </c>
      <c r="M15" s="2">
        <f>'Dominance_D3-SR+NM'!S76</f>
        <v>0.19803537499999999</v>
      </c>
      <c r="N15" s="2">
        <f>'Dominance_D3-SR+NM'!T76</f>
        <v>0.13125541666666662</v>
      </c>
      <c r="O15" s="2">
        <f>'Dominance_D3-SR+NM'!U76</f>
        <v>0.22552975000000003</v>
      </c>
    </row>
    <row r="16" spans="2:15" x14ac:dyDescent="0.25">
      <c r="C16" t="s">
        <v>15</v>
      </c>
      <c r="D16" s="2">
        <f>'Dominance_D3-SR+NM'!G77</f>
        <v>0.15482391666666667</v>
      </c>
      <c r="E16" s="2">
        <f>'Dominance_D3-SR+NM'!H77</f>
        <v>0.20975166666666667</v>
      </c>
      <c r="F16" s="2">
        <f>'Dominance_D3-SR+NM'!I77</f>
        <v>0.17722941666666667</v>
      </c>
      <c r="G16" s="2">
        <f>'Dominance_D3-SR+NM'!J77</f>
        <v>0.10152966666666664</v>
      </c>
      <c r="H16" s="2"/>
      <c r="K16" t="s">
        <v>15</v>
      </c>
      <c r="L16" s="2">
        <f>'Dominance_D3-SR+NM'!R77</f>
        <v>0.23602466666666669</v>
      </c>
      <c r="M16" s="2">
        <f>'Dominance_D3-SR+NM'!S77</f>
        <v>0.20835324999999999</v>
      </c>
      <c r="N16" s="2">
        <f>'Dominance_D3-SR+NM'!T77</f>
        <v>0.18567091666666666</v>
      </c>
      <c r="O16" s="2">
        <f>'Dominance_D3-SR+NM'!U77</f>
        <v>0.15874258333333333</v>
      </c>
    </row>
    <row r="18" spans="3:12" x14ac:dyDescent="0.25">
      <c r="C18" t="s">
        <v>6</v>
      </c>
      <c r="D18" t="s">
        <v>12</v>
      </c>
      <c r="I18" t="s">
        <v>11</v>
      </c>
    </row>
    <row r="19" spans="3:12" x14ac:dyDescent="0.25">
      <c r="D19" t="s">
        <v>35</v>
      </c>
      <c r="E19" t="s">
        <v>36</v>
      </c>
      <c r="F19" t="s">
        <v>37</v>
      </c>
      <c r="G19" t="s">
        <v>17</v>
      </c>
      <c r="I19" t="s">
        <v>35</v>
      </c>
      <c r="J19" t="s">
        <v>36</v>
      </c>
      <c r="K19" t="s">
        <v>37</v>
      </c>
      <c r="L19" t="s">
        <v>17</v>
      </c>
    </row>
    <row r="20" spans="3:12" x14ac:dyDescent="0.25">
      <c r="C20" t="s">
        <v>13</v>
      </c>
      <c r="D20" s="2">
        <f>E4</f>
        <v>7.0420833333333335E-2</v>
      </c>
      <c r="E20" s="2">
        <f>E9</f>
        <v>5.927066666666668E-2</v>
      </c>
      <c r="F20" s="2">
        <f>E14</f>
        <v>9.0341333333333343E-2</v>
      </c>
      <c r="G20" s="2">
        <f>AVERAGE(D20:F20)</f>
        <v>7.3344277777777786E-2</v>
      </c>
      <c r="H20" s="2"/>
      <c r="I20" s="2">
        <f>M4</f>
        <v>0.17987920833333335</v>
      </c>
      <c r="J20" s="2">
        <f>M9</f>
        <v>0.17565533333333336</v>
      </c>
      <c r="K20" s="2">
        <f>M14</f>
        <v>0.13436995833333332</v>
      </c>
      <c r="L20" s="2">
        <f>AVERAGE(I20:K20)</f>
        <v>0.16330150000000002</v>
      </c>
    </row>
    <row r="21" spans="3:12" x14ac:dyDescent="0.25">
      <c r="C21" t="s">
        <v>14</v>
      </c>
      <c r="D21" s="2">
        <f>E5</f>
        <v>0.11624850116090524</v>
      </c>
      <c r="E21" s="2">
        <f>E10</f>
        <v>9.5987666666666679E-2</v>
      </c>
      <c r="F21" s="2">
        <f>E15</f>
        <v>0.16910899999999995</v>
      </c>
      <c r="G21" s="2">
        <f t="shared" ref="G21:G34" si="0">AVERAGE(D21:F21)</f>
        <v>0.12711505594252395</v>
      </c>
      <c r="H21" s="2"/>
      <c r="I21" s="2">
        <f>M5</f>
        <v>0.12738737500000002</v>
      </c>
      <c r="J21" s="2">
        <f>M10</f>
        <v>0.17112712499999994</v>
      </c>
      <c r="K21" s="2">
        <f>M15</f>
        <v>0.19803537499999999</v>
      </c>
      <c r="L21" s="2">
        <f t="shared" ref="L21:L34" si="1">AVERAGE(I21:K21)</f>
        <v>0.16551662499999997</v>
      </c>
    </row>
    <row r="22" spans="3:12" x14ac:dyDescent="0.25">
      <c r="C22" t="s">
        <v>15</v>
      </c>
      <c r="D22" s="2">
        <f>E6</f>
        <v>0.11862658333333331</v>
      </c>
      <c r="E22" s="2">
        <f>E11</f>
        <v>8.3832249999999997E-2</v>
      </c>
      <c r="F22" s="2">
        <f>E16</f>
        <v>0.20975166666666667</v>
      </c>
      <c r="G22" s="2">
        <f t="shared" si="0"/>
        <v>0.13740349999999998</v>
      </c>
      <c r="H22" s="2"/>
      <c r="I22" s="2">
        <f>M6</f>
        <v>8.2179916666666644E-2</v>
      </c>
      <c r="J22" s="2">
        <f>M11</f>
        <v>0.14209783333333334</v>
      </c>
      <c r="K22" s="2">
        <f>M16</f>
        <v>0.20835324999999999</v>
      </c>
      <c r="L22" s="2">
        <f t="shared" si="1"/>
        <v>0.14421033333333333</v>
      </c>
    </row>
    <row r="23" spans="3:12" x14ac:dyDescent="0.25">
      <c r="D23" s="2"/>
      <c r="E23" s="2"/>
      <c r="F23" s="2"/>
      <c r="G23" s="2"/>
      <c r="H23" s="2"/>
      <c r="I23" s="2"/>
      <c r="J23" s="2"/>
      <c r="K23" s="2"/>
      <c r="L23" s="2"/>
    </row>
    <row r="24" spans="3:12" x14ac:dyDescent="0.25">
      <c r="C24" t="s">
        <v>19</v>
      </c>
      <c r="D24" s="2" t="s">
        <v>12</v>
      </c>
      <c r="E24" s="2"/>
      <c r="F24" s="2"/>
      <c r="G24" s="2"/>
      <c r="H24" s="2"/>
      <c r="I24" s="2" t="s">
        <v>11</v>
      </c>
      <c r="J24" s="2"/>
      <c r="K24" s="2"/>
      <c r="L24" s="2"/>
    </row>
    <row r="25" spans="3:12" x14ac:dyDescent="0.25">
      <c r="D25" s="2" t="s">
        <v>35</v>
      </c>
      <c r="E25" s="2" t="s">
        <v>36</v>
      </c>
      <c r="F25" s="2" t="s">
        <v>37</v>
      </c>
      <c r="G25" s="2"/>
      <c r="H25" s="2"/>
      <c r="I25" s="2" t="s">
        <v>35</v>
      </c>
      <c r="J25" s="2" t="s">
        <v>36</v>
      </c>
      <c r="K25" s="2" t="s">
        <v>37</v>
      </c>
      <c r="L25" s="2"/>
    </row>
    <row r="26" spans="3:12" x14ac:dyDescent="0.25">
      <c r="C26" t="s">
        <v>13</v>
      </c>
      <c r="D26" s="2">
        <f>F4</f>
        <v>0.11485241666666668</v>
      </c>
      <c r="E26" s="2">
        <f>F9</f>
        <v>0.11674466666666668</v>
      </c>
      <c r="F26" s="2">
        <f>F14</f>
        <v>0.15676333333333331</v>
      </c>
      <c r="G26" s="2">
        <f t="shared" si="0"/>
        <v>0.12945347222222223</v>
      </c>
      <c r="H26" s="2"/>
      <c r="I26" s="2">
        <f>N4</f>
        <v>0.12373270833333333</v>
      </c>
      <c r="J26" s="2">
        <f>N9</f>
        <v>5.2044208333333307E-2</v>
      </c>
      <c r="K26" s="2">
        <f>N14</f>
        <v>6.0390791666666659E-2</v>
      </c>
      <c r="L26" s="2">
        <f t="shared" si="1"/>
        <v>7.8722569444444432E-2</v>
      </c>
    </row>
    <row r="27" spans="3:12" x14ac:dyDescent="0.25">
      <c r="C27" t="s">
        <v>14</v>
      </c>
      <c r="D27" s="2">
        <f>F5</f>
        <v>0.22128050116090528</v>
      </c>
      <c r="E27" s="2">
        <f>F10</f>
        <v>0.20972858333333336</v>
      </c>
      <c r="F27" s="2">
        <f>F15</f>
        <v>0.19263374999999999</v>
      </c>
      <c r="G27" s="2">
        <f t="shared" si="0"/>
        <v>0.20788094483141287</v>
      </c>
      <c r="H27" s="2"/>
      <c r="I27" s="2">
        <f>N5</f>
        <v>0.10546700000000001</v>
      </c>
      <c r="J27" s="2">
        <f>N10</f>
        <v>6.9568666666666668E-2</v>
      </c>
      <c r="K27" s="2">
        <f>N15</f>
        <v>0.13125541666666662</v>
      </c>
      <c r="L27" s="2">
        <f t="shared" si="1"/>
        <v>0.10209702777777778</v>
      </c>
    </row>
    <row r="28" spans="3:12" x14ac:dyDescent="0.25">
      <c r="C28" t="s">
        <v>15</v>
      </c>
      <c r="D28" s="2">
        <f>F6</f>
        <v>0.23979758333333334</v>
      </c>
      <c r="E28" s="2">
        <f>F11</f>
        <v>0.18161233333333329</v>
      </c>
      <c r="F28" s="2">
        <f>F16</f>
        <v>0.17722941666666667</v>
      </c>
      <c r="G28" s="2">
        <f t="shared" si="0"/>
        <v>0.19954644444444444</v>
      </c>
      <c r="H28" s="2"/>
      <c r="I28" s="2">
        <f>N6</f>
        <v>8.6037874999999986E-2</v>
      </c>
      <c r="J28" s="2">
        <f>N11</f>
        <v>9.5626625000000021E-2</v>
      </c>
      <c r="K28" s="2">
        <f>N16</f>
        <v>0.18567091666666666</v>
      </c>
      <c r="L28" s="2">
        <f t="shared" si="1"/>
        <v>0.1224451388888889</v>
      </c>
    </row>
    <row r="29" spans="3:12" x14ac:dyDescent="0.25">
      <c r="D29" s="2"/>
      <c r="E29" s="2"/>
      <c r="F29" s="2"/>
      <c r="G29" s="2"/>
      <c r="H29" s="2"/>
      <c r="I29" s="2"/>
      <c r="J29" s="2"/>
      <c r="K29" s="2"/>
      <c r="L29" s="2"/>
    </row>
    <row r="30" spans="3:12" x14ac:dyDescent="0.25">
      <c r="C30" t="s">
        <v>21</v>
      </c>
      <c r="D30" s="2" t="s">
        <v>12</v>
      </c>
      <c r="E30" s="2"/>
      <c r="F30" s="2"/>
      <c r="G30" s="2"/>
      <c r="H30" s="2"/>
      <c r="I30" s="2" t="s">
        <v>11</v>
      </c>
      <c r="J30" s="2"/>
      <c r="K30" s="2"/>
      <c r="L30" s="2"/>
    </row>
    <row r="31" spans="3:12" x14ac:dyDescent="0.25">
      <c r="D31" s="2" t="s">
        <v>35</v>
      </c>
      <c r="E31" s="2" t="s">
        <v>36</v>
      </c>
      <c r="F31" s="2" t="s">
        <v>37</v>
      </c>
      <c r="G31" s="2"/>
      <c r="H31" s="2"/>
      <c r="I31" s="2" t="s">
        <v>35</v>
      </c>
      <c r="J31" s="2" t="s">
        <v>36</v>
      </c>
      <c r="K31" s="2" t="s">
        <v>37</v>
      </c>
      <c r="L31" s="2"/>
    </row>
    <row r="32" spans="3:12" x14ac:dyDescent="0.25">
      <c r="C32" t="s">
        <v>13</v>
      </c>
      <c r="D32" s="2">
        <f>G4</f>
        <v>3.6363416666666662E-2</v>
      </c>
      <c r="E32" s="2">
        <f>G9</f>
        <v>1.0034249999999995E-2</v>
      </c>
      <c r="F32" s="2">
        <f>G14</f>
        <v>0.10351691666666669</v>
      </c>
      <c r="G32" s="2">
        <f t="shared" si="0"/>
        <v>4.9971527777777781E-2</v>
      </c>
      <c r="H32" s="2"/>
      <c r="I32" s="2">
        <f>O4</f>
        <v>0.31081816666666662</v>
      </c>
      <c r="J32" s="2">
        <f>O9</f>
        <v>0.28889683333333332</v>
      </c>
      <c r="K32" s="2">
        <f>O14</f>
        <v>0.23971133333333333</v>
      </c>
      <c r="L32" s="2">
        <f t="shared" si="1"/>
        <v>0.2798087777777778</v>
      </c>
    </row>
    <row r="33" spans="3:12" x14ac:dyDescent="0.25">
      <c r="C33" t="s">
        <v>14</v>
      </c>
      <c r="D33" s="2">
        <f>G5</f>
        <v>9.5614163183950912E-2</v>
      </c>
      <c r="E33" s="2">
        <f>G10</f>
        <v>6.3996583333333384E-2</v>
      </c>
      <c r="F33" s="2">
        <f>G15</f>
        <v>0.118011</v>
      </c>
      <c r="G33" s="2">
        <f t="shared" si="0"/>
        <v>9.254058217242811E-2</v>
      </c>
      <c r="H33" s="2"/>
      <c r="I33" s="2">
        <f>O5</f>
        <v>0.3316967500000001</v>
      </c>
      <c r="J33" s="2">
        <f>O10</f>
        <v>0.28495891666666662</v>
      </c>
      <c r="K33" s="2">
        <f>O15</f>
        <v>0.22552975000000003</v>
      </c>
      <c r="L33" s="2">
        <f t="shared" si="1"/>
        <v>0.28072847222222225</v>
      </c>
    </row>
    <row r="34" spans="3:12" x14ac:dyDescent="0.25">
      <c r="C34" t="s">
        <v>15</v>
      </c>
      <c r="D34" s="2">
        <f>G6</f>
        <v>9.2053916666666652E-2</v>
      </c>
      <c r="E34" s="2">
        <f>G11</f>
        <v>0.11611558333333333</v>
      </c>
      <c r="F34" s="2">
        <f>G16</f>
        <v>0.10152966666666664</v>
      </c>
      <c r="G34" s="2">
        <f t="shared" si="0"/>
        <v>0.10323305555555555</v>
      </c>
      <c r="H34" s="2"/>
      <c r="I34" s="2">
        <f>O6</f>
        <v>0.27783083333333336</v>
      </c>
      <c r="J34" s="2">
        <f>O11</f>
        <v>0.24400833333333344</v>
      </c>
      <c r="K34" s="2">
        <f>O16</f>
        <v>0.15874258333333333</v>
      </c>
      <c r="L34" s="2">
        <f t="shared" si="1"/>
        <v>0.22686058333333339</v>
      </c>
    </row>
    <row r="35" spans="3:12" x14ac:dyDescent="0.25">
      <c r="D35" s="2"/>
      <c r="E35" s="2"/>
      <c r="F35" s="2"/>
      <c r="G35" s="2"/>
      <c r="H35" s="2"/>
      <c r="I35" s="2"/>
      <c r="J35" s="2"/>
      <c r="K35" s="2"/>
      <c r="L35" s="2"/>
    </row>
    <row r="36" spans="3:12" x14ac:dyDescent="0.25">
      <c r="C36" t="s">
        <v>18</v>
      </c>
      <c r="D36" s="2" t="s">
        <v>12</v>
      </c>
      <c r="E36" s="2"/>
      <c r="F36" s="2"/>
      <c r="G36" s="2"/>
      <c r="H36" s="2"/>
      <c r="I36" s="2" t="s">
        <v>11</v>
      </c>
      <c r="J36" s="2"/>
      <c r="K36" s="2"/>
      <c r="L36" s="2"/>
    </row>
    <row r="37" spans="3:12" x14ac:dyDescent="0.25">
      <c r="D37" s="2" t="s">
        <v>35</v>
      </c>
      <c r="E37" s="2" t="s">
        <v>36</v>
      </c>
      <c r="F37" s="2" t="s">
        <v>37</v>
      </c>
      <c r="G37" s="2"/>
      <c r="H37" s="2"/>
      <c r="I37" s="2" t="s">
        <v>35</v>
      </c>
      <c r="J37" s="2" t="s">
        <v>36</v>
      </c>
      <c r="K37" s="2" t="s">
        <v>37</v>
      </c>
      <c r="L37" s="2"/>
    </row>
    <row r="38" spans="3:12" x14ac:dyDescent="0.25">
      <c r="C38" t="s">
        <v>13</v>
      </c>
      <c r="D38" s="2">
        <f>D4</f>
        <v>0.16275066666666665</v>
      </c>
      <c r="E38" s="2">
        <f>D9</f>
        <v>0.24441658333333333</v>
      </c>
      <c r="F38" s="2">
        <f>D14</f>
        <v>0.36858358333333341</v>
      </c>
      <c r="G38" s="2">
        <f>AVERAGE(D38:F38)</f>
        <v>0.25858361111111111</v>
      </c>
      <c r="H38" s="2"/>
      <c r="I38" s="2">
        <f>L4</f>
        <v>0.19311533333333339</v>
      </c>
      <c r="J38" s="2">
        <f>L9</f>
        <v>0.3152476666666667</v>
      </c>
      <c r="K38" s="2">
        <f>L14</f>
        <v>0.30740816666666659</v>
      </c>
      <c r="L38" s="2">
        <f>AVERAGE(I38:K38)</f>
        <v>0.27192372222222222</v>
      </c>
    </row>
    <row r="39" spans="3:12" x14ac:dyDescent="0.25">
      <c r="C39" t="s">
        <v>14</v>
      </c>
      <c r="D39" s="2">
        <f>D5</f>
        <v>0.22806483449423859</v>
      </c>
      <c r="E39" s="2">
        <f>D10</f>
        <v>0.32173533333333337</v>
      </c>
      <c r="F39" s="2">
        <f>D15</f>
        <v>0.28108091666666668</v>
      </c>
      <c r="G39" s="2">
        <f>AVERAGE(D39:F39)</f>
        <v>0.27696036149807951</v>
      </c>
      <c r="H39" s="2"/>
      <c r="I39" s="2">
        <f>L5</f>
        <v>0.14426908333333327</v>
      </c>
      <c r="J39" s="2">
        <f>L10</f>
        <v>0.40273999999999999</v>
      </c>
      <c r="K39" s="2">
        <f>L15</f>
        <v>0.31276816666666668</v>
      </c>
      <c r="L39" s="2">
        <f>AVERAGE(I39:K39)</f>
        <v>0.28659241666666663</v>
      </c>
    </row>
    <row r="40" spans="3:12" x14ac:dyDescent="0.25">
      <c r="C40" t="s">
        <v>15</v>
      </c>
      <c r="D40" s="2">
        <f>D6</f>
        <v>0.25902608333333332</v>
      </c>
      <c r="E40" s="2">
        <f>D11</f>
        <v>0.20683333333333337</v>
      </c>
      <c r="F40" s="2">
        <f>D16</f>
        <v>0.15482391666666667</v>
      </c>
      <c r="G40" s="2">
        <f>AVERAGE(D40:F40)</f>
        <v>0.20689444444444446</v>
      </c>
      <c r="H40" s="2"/>
      <c r="I40" s="2">
        <f>L6</f>
        <v>6.3424416666666678E-2</v>
      </c>
      <c r="J40" s="2">
        <f>L11</f>
        <v>0.41097275</v>
      </c>
      <c r="K40" s="2">
        <f>L16</f>
        <v>0.23602466666666669</v>
      </c>
      <c r="L40" s="2">
        <f>AVERAGE(I40:K40)</f>
        <v>0.23680727777777777</v>
      </c>
    </row>
    <row r="44" spans="3:12" x14ac:dyDescent="0.25">
      <c r="J44" s="1"/>
    </row>
    <row r="45" spans="3:12" x14ac:dyDescent="0.25">
      <c r="E45" s="13"/>
      <c r="F45" s="13"/>
      <c r="G45" s="13"/>
      <c r="H45" s="13"/>
      <c r="I45" s="13"/>
      <c r="J45" s="14"/>
    </row>
    <row r="46" spans="3:12" x14ac:dyDescent="0.25">
      <c r="E46" s="13"/>
      <c r="F46" s="13"/>
      <c r="G46" s="13"/>
      <c r="H46" s="13"/>
      <c r="I46" s="13"/>
      <c r="J46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97E0-7006-4D26-A24C-612473687D58}">
  <sheetPr>
    <tabColor theme="6"/>
  </sheetPr>
  <dimension ref="A1:X69"/>
  <sheetViews>
    <sheetView workbookViewId="0"/>
  </sheetViews>
  <sheetFormatPr defaultRowHeight="15" x14ac:dyDescent="0.25"/>
  <cols>
    <col min="1" max="1" width="20.85546875" style="5" bestFit="1" customWidth="1"/>
    <col min="2" max="11" width="9.140625" style="5"/>
    <col min="12" max="12" width="20.85546875" style="5" bestFit="1" customWidth="1"/>
    <col min="13" max="16384" width="9.140625" style="5"/>
  </cols>
  <sheetData>
    <row r="1" spans="1:21" x14ac:dyDescent="0.25">
      <c r="A1" s="47"/>
      <c r="B1" s="48" t="s">
        <v>24</v>
      </c>
      <c r="C1" s="47"/>
      <c r="D1" s="47"/>
      <c r="E1" s="47"/>
      <c r="F1" s="47"/>
      <c r="G1" s="47"/>
      <c r="H1" s="47"/>
      <c r="I1" s="47"/>
      <c r="J1" s="47"/>
      <c r="L1" s="47"/>
      <c r="M1" s="48" t="s">
        <v>25</v>
      </c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5" t="s">
        <v>38</v>
      </c>
      <c r="B2"/>
      <c r="C2"/>
      <c r="D2"/>
      <c r="F2" s="6" t="s">
        <v>4</v>
      </c>
      <c r="G2" s="6" t="s">
        <v>18</v>
      </c>
      <c r="H2" s="6" t="s">
        <v>6</v>
      </c>
      <c r="I2" s="6" t="s">
        <v>7</v>
      </c>
      <c r="J2" s="6" t="s">
        <v>21</v>
      </c>
      <c r="L2" s="45" t="s">
        <v>38</v>
      </c>
      <c r="M2"/>
      <c r="N2"/>
      <c r="O2"/>
      <c r="Q2" s="6" t="s">
        <v>4</v>
      </c>
      <c r="R2" s="6" t="s">
        <v>18</v>
      </c>
      <c r="S2" s="6" t="s">
        <v>6</v>
      </c>
      <c r="T2" s="6" t="s">
        <v>7</v>
      </c>
      <c r="U2" s="6" t="s">
        <v>21</v>
      </c>
    </row>
    <row r="3" spans="1:21" x14ac:dyDescent="0.25">
      <c r="A3" s="46"/>
      <c r="B3"/>
      <c r="C3"/>
      <c r="D3"/>
      <c r="E3" s="7" t="s">
        <v>1</v>
      </c>
      <c r="F3" s="8"/>
      <c r="G3" s="8">
        <f>F4</f>
        <v>0.33600000000000002</v>
      </c>
      <c r="H3" s="8">
        <f>F5</f>
        <v>0.26100000000000001</v>
      </c>
      <c r="I3" s="8">
        <f>F6</f>
        <v>0.41499999999999998</v>
      </c>
      <c r="J3" s="9">
        <f>F7</f>
        <v>0.20499999999999999</v>
      </c>
      <c r="L3" s="46"/>
      <c r="M3"/>
      <c r="N3"/>
      <c r="O3"/>
      <c r="P3" s="7" t="s">
        <v>1</v>
      </c>
      <c r="Q3" s="8"/>
      <c r="R3" s="8">
        <f>Q4</f>
        <v>0.54800000000000004</v>
      </c>
      <c r="S3" s="8">
        <f>Q5</f>
        <v>0.45800000000000002</v>
      </c>
      <c r="T3" s="8">
        <f>Q6</f>
        <v>0.33200000000000002</v>
      </c>
      <c r="U3" s="9">
        <f>Q7</f>
        <v>0.54600000000000004</v>
      </c>
    </row>
    <row r="4" spans="1:21" x14ac:dyDescent="0.25">
      <c r="A4" s="46"/>
      <c r="B4"/>
      <c r="C4"/>
      <c r="D4" t="s">
        <v>18</v>
      </c>
      <c r="F4" s="5">
        <v>0.33600000000000002</v>
      </c>
      <c r="H4" s="5">
        <f>F9-F4</f>
        <v>0.28999999999999998</v>
      </c>
      <c r="I4" s="5">
        <f>F10-F4</f>
        <v>0.32800000000000001</v>
      </c>
      <c r="J4" s="5">
        <f>F11-F4</f>
        <v>0.16099999999999998</v>
      </c>
      <c r="L4" s="46"/>
      <c r="M4"/>
      <c r="N4"/>
      <c r="O4" t="s">
        <v>18</v>
      </c>
      <c r="Q4" s="5">
        <v>0.54800000000000004</v>
      </c>
      <c r="S4" s="5">
        <f>Q9-Q4</f>
        <v>0.128</v>
      </c>
      <c r="T4" s="5">
        <f>Q10-Q4</f>
        <v>0.15699999999999992</v>
      </c>
      <c r="U4" s="5">
        <f>Q11-Q4</f>
        <v>0.26</v>
      </c>
    </row>
    <row r="5" spans="1:21" x14ac:dyDescent="0.25">
      <c r="A5" s="46"/>
      <c r="B5"/>
      <c r="C5"/>
      <c r="D5" t="s">
        <v>6</v>
      </c>
      <c r="F5" s="5">
        <v>0.26100000000000001</v>
      </c>
      <c r="G5" s="5">
        <f>F9-F5</f>
        <v>0.36499999999999999</v>
      </c>
      <c r="I5" s="5">
        <f>F12-F5</f>
        <v>0.15899999999999997</v>
      </c>
      <c r="J5" s="5">
        <f>F13-F5</f>
        <v>8.4999999999999964E-2</v>
      </c>
      <c r="L5" s="46"/>
      <c r="M5"/>
      <c r="N5"/>
      <c r="O5" t="s">
        <v>6</v>
      </c>
      <c r="Q5" s="5">
        <v>0.45800000000000002</v>
      </c>
      <c r="R5" s="5">
        <f>Q9-Q5</f>
        <v>0.21800000000000003</v>
      </c>
      <c r="T5" s="5">
        <f>Q12-Q5</f>
        <v>2.0999999999999963E-2</v>
      </c>
      <c r="U5" s="5">
        <f>Q13-Q5</f>
        <v>0.27499999999999997</v>
      </c>
    </row>
    <row r="6" spans="1:21" x14ac:dyDescent="0.25">
      <c r="A6" s="46"/>
      <c r="B6"/>
      <c r="C6"/>
      <c r="D6" t="s">
        <v>7</v>
      </c>
      <c r="F6" s="5">
        <v>0.41499999999999998</v>
      </c>
      <c r="G6" s="5">
        <f>F10-F6</f>
        <v>0.24900000000000005</v>
      </c>
      <c r="H6" s="5">
        <f>F12-F6</f>
        <v>5.0000000000000044E-3</v>
      </c>
      <c r="J6" s="5">
        <f>F14-F6</f>
        <v>4.1000000000000036E-2</v>
      </c>
      <c r="L6" s="46"/>
      <c r="M6"/>
      <c r="N6"/>
      <c r="O6" t="s">
        <v>7</v>
      </c>
      <c r="Q6" s="5">
        <v>0.33200000000000002</v>
      </c>
      <c r="R6" s="5">
        <f>Q10-Q6</f>
        <v>0.37299999999999994</v>
      </c>
      <c r="S6" s="5">
        <f>Q12-Q6</f>
        <v>0.14699999999999996</v>
      </c>
      <c r="U6" s="5">
        <f>Q14-Q6</f>
        <v>0.27999999999999997</v>
      </c>
    </row>
    <row r="7" spans="1:21" x14ac:dyDescent="0.25">
      <c r="A7" s="46"/>
      <c r="B7"/>
      <c r="C7"/>
      <c r="D7" t="s">
        <v>21</v>
      </c>
      <c r="F7" s="5">
        <v>0.20499999999999999</v>
      </c>
      <c r="G7" s="5">
        <f>F11-F7</f>
        <v>0.29200000000000004</v>
      </c>
      <c r="H7" s="5">
        <f>F13-F7</f>
        <v>0.14099999999999999</v>
      </c>
      <c r="I7" s="5">
        <f>F14-F7</f>
        <v>0.251</v>
      </c>
      <c r="L7" s="46"/>
      <c r="M7"/>
      <c r="N7"/>
      <c r="O7" t="s">
        <v>21</v>
      </c>
      <c r="Q7" s="5">
        <v>0.54600000000000004</v>
      </c>
      <c r="R7" s="5">
        <f>Q11-Q7</f>
        <v>0.26200000000000001</v>
      </c>
      <c r="S7" s="5">
        <f>Q13-Q7</f>
        <v>0.18699999999999994</v>
      </c>
      <c r="T7" s="5">
        <f>Q14-Q7</f>
        <v>6.5999999999999948E-2</v>
      </c>
    </row>
    <row r="8" spans="1:21" x14ac:dyDescent="0.25">
      <c r="A8" s="46"/>
      <c r="B8"/>
      <c r="C8"/>
      <c r="D8"/>
      <c r="E8" s="7" t="s">
        <v>0</v>
      </c>
      <c r="F8" s="8"/>
      <c r="G8" s="10">
        <f>AVERAGE(G4:G7)</f>
        <v>0.30200000000000005</v>
      </c>
      <c r="H8" s="10">
        <f>AVERAGE(H4:H7)</f>
        <v>0.14533333333333331</v>
      </c>
      <c r="I8" s="10">
        <f>AVERAGE(I4:I7)</f>
        <v>0.246</v>
      </c>
      <c r="J8" s="10">
        <f>AVERAGE(J4:J7)</f>
        <v>9.5666666666666664E-2</v>
      </c>
      <c r="L8" s="46"/>
      <c r="M8"/>
      <c r="N8"/>
      <c r="O8"/>
      <c r="P8" s="7" t="s">
        <v>0</v>
      </c>
      <c r="Q8" s="8"/>
      <c r="R8" s="10">
        <f>AVERAGE(R4:R7)</f>
        <v>0.28433333333333333</v>
      </c>
      <c r="S8" s="10">
        <f>AVERAGE(S4:S7)</f>
        <v>0.15399999999999997</v>
      </c>
      <c r="T8" s="10">
        <f>AVERAGE(T4:T7)</f>
        <v>8.1333333333333271E-2</v>
      </c>
      <c r="U8" s="10">
        <f>AVERAGE(U4:U7)</f>
        <v>0.27166666666666667</v>
      </c>
    </row>
    <row r="9" spans="1:21" x14ac:dyDescent="0.25">
      <c r="A9" s="46"/>
      <c r="B9"/>
      <c r="C9" t="s">
        <v>18</v>
      </c>
      <c r="D9" t="s">
        <v>6</v>
      </c>
      <c r="F9" s="5">
        <v>0.626</v>
      </c>
      <c r="I9" s="5">
        <f>F16-F9</f>
        <v>6.7999999999999949E-2</v>
      </c>
      <c r="J9" s="5">
        <f>F17-F9</f>
        <v>4.9000000000000044E-2</v>
      </c>
      <c r="L9" s="46"/>
      <c r="M9"/>
      <c r="N9" t="s">
        <v>18</v>
      </c>
      <c r="O9" t="s">
        <v>6</v>
      </c>
      <c r="Q9" s="5">
        <v>0.67600000000000005</v>
      </c>
      <c r="T9" s="5">
        <f>Q16-Q9</f>
        <v>4.2999999999999927E-2</v>
      </c>
      <c r="U9" s="5">
        <f>Q17-Q9</f>
        <v>0.18899999999999995</v>
      </c>
    </row>
    <row r="10" spans="1:21" x14ac:dyDescent="0.25">
      <c r="A10" s="46"/>
      <c r="B10"/>
      <c r="C10" t="s">
        <v>18</v>
      </c>
      <c r="D10" t="s">
        <v>7</v>
      </c>
      <c r="F10" s="5">
        <v>0.66400000000000003</v>
      </c>
      <c r="H10" s="5">
        <f>F16-F10</f>
        <v>2.9999999999999916E-2</v>
      </c>
      <c r="J10" s="5">
        <f>F18-F10</f>
        <v>3.2999999999999918E-2</v>
      </c>
      <c r="L10" s="46"/>
      <c r="M10"/>
      <c r="N10" t="s">
        <v>18</v>
      </c>
      <c r="O10" t="s">
        <v>7</v>
      </c>
      <c r="Q10" s="5">
        <v>0.70499999999999996</v>
      </c>
      <c r="S10" s="5">
        <f>Q16-Q10</f>
        <v>1.4000000000000012E-2</v>
      </c>
      <c r="U10" s="5">
        <f>Q18-Q10</f>
        <v>0.14300000000000002</v>
      </c>
    </row>
    <row r="11" spans="1:21" x14ac:dyDescent="0.25">
      <c r="A11" s="46"/>
      <c r="B11"/>
      <c r="C11" t="s">
        <v>18</v>
      </c>
      <c r="D11" t="s">
        <v>21</v>
      </c>
      <c r="F11" s="5">
        <v>0.497</v>
      </c>
      <c r="H11" s="5">
        <f>F17-F11</f>
        <v>0.17800000000000005</v>
      </c>
      <c r="I11" s="5">
        <f>F18-F11</f>
        <v>0.19999999999999996</v>
      </c>
      <c r="L11" s="46"/>
      <c r="M11"/>
      <c r="N11" t="s">
        <v>18</v>
      </c>
      <c r="O11" t="s">
        <v>21</v>
      </c>
      <c r="Q11" s="5">
        <v>0.80800000000000005</v>
      </c>
      <c r="S11" s="5">
        <f>Q17-Q11</f>
        <v>5.699999999999994E-2</v>
      </c>
      <c r="T11" s="5">
        <f>Q18-Q11</f>
        <v>3.9999999999999925E-2</v>
      </c>
    </row>
    <row r="12" spans="1:21" x14ac:dyDescent="0.25">
      <c r="A12" s="46"/>
      <c r="B12"/>
      <c r="C12" t="s">
        <v>6</v>
      </c>
      <c r="D12" t="s">
        <v>7</v>
      </c>
      <c r="F12" s="5">
        <v>0.42</v>
      </c>
      <c r="G12" s="5">
        <f>F16-F12</f>
        <v>0.27399999999999997</v>
      </c>
      <c r="J12" s="5">
        <f>F19-F12</f>
        <v>3.9000000000000035E-2</v>
      </c>
      <c r="L12" s="46"/>
      <c r="M12"/>
      <c r="N12" t="s">
        <v>6</v>
      </c>
      <c r="O12" t="s">
        <v>7</v>
      </c>
      <c r="Q12" s="5">
        <v>0.47899999999999998</v>
      </c>
      <c r="R12" s="5">
        <f>Q16-Q12</f>
        <v>0.24</v>
      </c>
      <c r="U12" s="5">
        <f>Q19-Q12</f>
        <v>0.255</v>
      </c>
    </row>
    <row r="13" spans="1:21" x14ac:dyDescent="0.25">
      <c r="A13" s="46"/>
      <c r="B13"/>
      <c r="C13" t="s">
        <v>6</v>
      </c>
      <c r="D13" t="s">
        <v>21</v>
      </c>
      <c r="F13" s="5">
        <v>0.34599999999999997</v>
      </c>
      <c r="G13" s="5">
        <f>F17-F13</f>
        <v>0.32900000000000007</v>
      </c>
      <c r="I13" s="5">
        <f>F19-F13</f>
        <v>0.11300000000000004</v>
      </c>
      <c r="L13" s="46"/>
      <c r="M13"/>
      <c r="N13" t="s">
        <v>6</v>
      </c>
      <c r="O13" t="s">
        <v>21</v>
      </c>
      <c r="Q13" s="5">
        <v>0.73299999999999998</v>
      </c>
      <c r="R13" s="5">
        <f>Q17-Q13</f>
        <v>0.13200000000000001</v>
      </c>
      <c r="T13" s="5">
        <f>Q19-Q13</f>
        <v>1.0000000000000009E-3</v>
      </c>
    </row>
    <row r="14" spans="1:21" x14ac:dyDescent="0.25">
      <c r="A14" s="46"/>
      <c r="B14"/>
      <c r="C14" t="s">
        <v>7</v>
      </c>
      <c r="D14" t="s">
        <v>21</v>
      </c>
      <c r="F14" s="5">
        <v>0.45600000000000002</v>
      </c>
      <c r="G14" s="5">
        <f>F18-F14</f>
        <v>0.24099999999999994</v>
      </c>
      <c r="H14" s="5">
        <f>F19-F14</f>
        <v>3.0000000000000027E-3</v>
      </c>
      <c r="L14" s="46"/>
      <c r="M14"/>
      <c r="N14" t="s">
        <v>7</v>
      </c>
      <c r="O14" t="s">
        <v>21</v>
      </c>
      <c r="Q14" s="5">
        <v>0.61199999999999999</v>
      </c>
      <c r="R14" s="5">
        <f>Q18-Q14</f>
        <v>0.23599999999999999</v>
      </c>
      <c r="S14" s="5">
        <f>Q19-Q14</f>
        <v>0.122</v>
      </c>
    </row>
    <row r="15" spans="1:21" x14ac:dyDescent="0.25">
      <c r="A15" s="46"/>
      <c r="B15"/>
      <c r="C15"/>
      <c r="D15"/>
      <c r="E15" s="7" t="s">
        <v>2</v>
      </c>
      <c r="F15" s="8"/>
      <c r="G15" s="10">
        <f>AVERAGE(G11:G14)</f>
        <v>0.28133333333333327</v>
      </c>
      <c r="H15" s="10">
        <f>AVERAGE(H11:H14)</f>
        <v>9.0500000000000025E-2</v>
      </c>
      <c r="I15" s="10">
        <f>AVERAGE(I11:I14)</f>
        <v>0.1565</v>
      </c>
      <c r="J15" s="10">
        <f>AVERAGE(J11:J14)</f>
        <v>3.9000000000000035E-2</v>
      </c>
      <c r="L15" s="46"/>
      <c r="M15"/>
      <c r="N15"/>
      <c r="O15"/>
      <c r="P15" s="7" t="s">
        <v>2</v>
      </c>
      <c r="Q15" s="8"/>
      <c r="R15" s="10">
        <f>AVERAGE(R11:R14)</f>
        <v>0.20266666666666666</v>
      </c>
      <c r="S15" s="10">
        <f>AVERAGE(S11:S14)</f>
        <v>8.9499999999999968E-2</v>
      </c>
      <c r="T15" s="10">
        <f>AVERAGE(T11:T14)</f>
        <v>2.0499999999999963E-2</v>
      </c>
      <c r="U15" s="10">
        <f>AVERAGE(U11:U14)</f>
        <v>0.255</v>
      </c>
    </row>
    <row r="16" spans="1:21" x14ac:dyDescent="0.25">
      <c r="A16" s="46"/>
      <c r="B16" t="s">
        <v>18</v>
      </c>
      <c r="C16" t="s">
        <v>6</v>
      </c>
      <c r="D16" t="s">
        <v>7</v>
      </c>
      <c r="F16" s="5">
        <v>0.69399999999999995</v>
      </c>
      <c r="J16" s="5">
        <f>F21-F16</f>
        <v>2.8000000000000025E-2</v>
      </c>
      <c r="L16" s="46"/>
      <c r="M16" t="s">
        <v>18</v>
      </c>
      <c r="N16" t="s">
        <v>6</v>
      </c>
      <c r="O16" t="s">
        <v>7</v>
      </c>
      <c r="Q16" s="5">
        <v>0.71899999999999997</v>
      </c>
      <c r="U16" s="5">
        <f>Q21-Q16</f>
        <v>0.14900000000000002</v>
      </c>
    </row>
    <row r="17" spans="1:21" x14ac:dyDescent="0.25">
      <c r="A17" s="46"/>
      <c r="B17" t="s">
        <v>18</v>
      </c>
      <c r="C17" t="s">
        <v>6</v>
      </c>
      <c r="D17" t="s">
        <v>21</v>
      </c>
      <c r="F17" s="5">
        <v>0.67500000000000004</v>
      </c>
      <c r="I17" s="5">
        <f>F21-F17</f>
        <v>4.6999999999999931E-2</v>
      </c>
      <c r="L17" s="46"/>
      <c r="M17" t="s">
        <v>18</v>
      </c>
      <c r="N17" t="s">
        <v>6</v>
      </c>
      <c r="O17" t="s">
        <v>21</v>
      </c>
      <c r="Q17" s="5">
        <v>0.86499999999999999</v>
      </c>
      <c r="T17" s="5">
        <f>Q21-Q17</f>
        <v>3.0000000000000027E-3</v>
      </c>
    </row>
    <row r="18" spans="1:21" x14ac:dyDescent="0.25">
      <c r="A18" s="46"/>
      <c r="B18" t="s">
        <v>18</v>
      </c>
      <c r="C18" t="s">
        <v>7</v>
      </c>
      <c r="D18" t="s">
        <v>21</v>
      </c>
      <c r="F18" s="5">
        <v>0.69699999999999995</v>
      </c>
      <c r="H18" s="5">
        <f>F21-F18</f>
        <v>2.5000000000000022E-2</v>
      </c>
      <c r="L18" s="46"/>
      <c r="M18" t="s">
        <v>18</v>
      </c>
      <c r="N18" t="s">
        <v>7</v>
      </c>
      <c r="O18" t="s">
        <v>21</v>
      </c>
      <c r="Q18" s="5">
        <v>0.84799999999999998</v>
      </c>
      <c r="S18" s="5">
        <f>Q21-Q18</f>
        <v>2.0000000000000018E-2</v>
      </c>
    </row>
    <row r="19" spans="1:21" x14ac:dyDescent="0.25">
      <c r="A19" s="46"/>
      <c r="B19" t="s">
        <v>6</v>
      </c>
      <c r="C19" t="s">
        <v>7</v>
      </c>
      <c r="D19" t="s">
        <v>21</v>
      </c>
      <c r="F19" s="5">
        <v>0.45900000000000002</v>
      </c>
      <c r="G19" s="5">
        <f>F21-F19</f>
        <v>0.26299999999999996</v>
      </c>
      <c r="L19" s="46"/>
      <c r="M19" t="s">
        <v>6</v>
      </c>
      <c r="N19" t="s">
        <v>7</v>
      </c>
      <c r="O19" t="s">
        <v>21</v>
      </c>
      <c r="Q19" s="5">
        <v>0.73399999999999999</v>
      </c>
      <c r="R19" s="5">
        <f>Q21-Q19</f>
        <v>0.13400000000000001</v>
      </c>
    </row>
    <row r="20" spans="1:21" x14ac:dyDescent="0.25">
      <c r="A20" s="46"/>
      <c r="B20"/>
      <c r="C20"/>
      <c r="D20"/>
      <c r="E20" s="7" t="s">
        <v>3</v>
      </c>
      <c r="F20" s="8"/>
      <c r="G20" s="10">
        <f>AVERAGE(G16:G19)</f>
        <v>0.26299999999999996</v>
      </c>
      <c r="H20" s="10">
        <f>AVERAGE(H16:H19)</f>
        <v>2.5000000000000022E-2</v>
      </c>
      <c r="I20" s="10">
        <f>AVERAGE(I16:I19)</f>
        <v>4.6999999999999931E-2</v>
      </c>
      <c r="J20" s="10">
        <f>AVERAGE(J16:J19)</f>
        <v>2.8000000000000025E-2</v>
      </c>
      <c r="L20" s="46"/>
      <c r="M20"/>
      <c r="N20"/>
      <c r="O20"/>
      <c r="P20" s="7" t="s">
        <v>3</v>
      </c>
      <c r="Q20" s="8"/>
      <c r="R20" s="10">
        <f>AVERAGE(R16:R19)</f>
        <v>0.13400000000000001</v>
      </c>
      <c r="S20" s="10">
        <f>AVERAGE(S16:S19)</f>
        <v>2.0000000000000018E-2</v>
      </c>
      <c r="T20" s="10">
        <f>AVERAGE(T16:T19)</f>
        <v>3.0000000000000027E-3</v>
      </c>
      <c r="U20" s="10">
        <f>AVERAGE(U16:U19)</f>
        <v>0.14900000000000002</v>
      </c>
    </row>
    <row r="21" spans="1:21" x14ac:dyDescent="0.25">
      <c r="A21" s="46"/>
      <c r="B21" t="s">
        <v>18</v>
      </c>
      <c r="C21" t="s">
        <v>6</v>
      </c>
      <c r="D21" t="s">
        <v>7</v>
      </c>
      <c r="E21" s="5" t="s">
        <v>21</v>
      </c>
      <c r="F21" s="5">
        <v>0.72199999999999998</v>
      </c>
      <c r="L21" s="46"/>
      <c r="M21" t="s">
        <v>18</v>
      </c>
      <c r="N21" t="s">
        <v>6</v>
      </c>
      <c r="O21" t="s">
        <v>7</v>
      </c>
      <c r="P21" s="5" t="s">
        <v>21</v>
      </c>
      <c r="Q21" s="5">
        <v>0.86799999999999999</v>
      </c>
    </row>
    <row r="22" spans="1:21" x14ac:dyDescent="0.25">
      <c r="A22" s="46"/>
      <c r="B22"/>
      <c r="C22"/>
      <c r="D22"/>
      <c r="E22" s="7" t="s">
        <v>5</v>
      </c>
      <c r="F22" s="8"/>
      <c r="G22" s="10">
        <f>AVERAGE(G3,G8,G15,G20)</f>
        <v>0.29558333333333331</v>
      </c>
      <c r="H22" s="10">
        <f>AVERAGE(H3,H8,H15,H20)</f>
        <v>0.13045833333333334</v>
      </c>
      <c r="I22" s="10">
        <f>AVERAGE(I3,I8,I15,I20)</f>
        <v>0.21612499999999998</v>
      </c>
      <c r="J22" s="10">
        <f>AVERAGE(J3,J8,J15,J20)</f>
        <v>9.1916666666666674E-2</v>
      </c>
      <c r="K22" s="11"/>
      <c r="L22" s="46"/>
      <c r="M22"/>
      <c r="N22"/>
      <c r="O22"/>
      <c r="P22" s="7" t="s">
        <v>5</v>
      </c>
      <c r="Q22" s="8"/>
      <c r="R22" s="10">
        <f>AVERAGE(R3,R8,R15,R20)</f>
        <v>0.29225000000000001</v>
      </c>
      <c r="S22" s="10">
        <f>AVERAGE(S3,S8,S15,S20)</f>
        <v>0.18037500000000001</v>
      </c>
      <c r="T22" s="10">
        <f>AVERAGE(T3,T8,T15,T20)</f>
        <v>0.10920833333333331</v>
      </c>
      <c r="U22" s="10">
        <f>AVERAGE(U3,U8,U15,U20)</f>
        <v>0.30541666666666667</v>
      </c>
    </row>
    <row r="23" spans="1:21" x14ac:dyDescent="0.25">
      <c r="B23" s="6"/>
      <c r="M23" s="6"/>
    </row>
    <row r="24" spans="1:21" x14ac:dyDescent="0.25">
      <c r="B24" s="6"/>
      <c r="M24" s="6"/>
    </row>
    <row r="25" spans="1:21" x14ac:dyDescent="0.25">
      <c r="A25" s="49" t="s">
        <v>10</v>
      </c>
      <c r="F25" s="6" t="s">
        <v>4</v>
      </c>
      <c r="G25" s="6" t="s">
        <v>18</v>
      </c>
      <c r="H25" s="6" t="s">
        <v>6</v>
      </c>
      <c r="I25" s="6" t="s">
        <v>7</v>
      </c>
      <c r="J25" s="6" t="s">
        <v>21</v>
      </c>
      <c r="L25" s="49" t="s">
        <v>10</v>
      </c>
      <c r="Q25" s="6" t="s">
        <v>4</v>
      </c>
      <c r="R25" s="6" t="s">
        <v>18</v>
      </c>
      <c r="S25" s="6" t="s">
        <v>6</v>
      </c>
      <c r="T25" s="6" t="s">
        <v>7</v>
      </c>
      <c r="U25" s="6" t="s">
        <v>21</v>
      </c>
    </row>
    <row r="26" spans="1:21" x14ac:dyDescent="0.25">
      <c r="A26" s="49"/>
      <c r="E26" s="7" t="s">
        <v>1</v>
      </c>
      <c r="F26" s="8"/>
      <c r="G26" s="8">
        <f>F27</f>
        <v>0.36299999999999999</v>
      </c>
      <c r="H26" s="8">
        <f>F28</f>
        <v>8.8999999999999996E-2</v>
      </c>
      <c r="I26" s="8">
        <f>F29</f>
        <v>0.185</v>
      </c>
      <c r="J26" s="9">
        <f>F30</f>
        <v>0.34100000000000003</v>
      </c>
      <c r="L26" s="49"/>
      <c r="P26" s="7" t="s">
        <v>1</v>
      </c>
      <c r="Q26" s="8"/>
      <c r="R26" s="8">
        <f>Q27</f>
        <v>0.375</v>
      </c>
      <c r="S26" s="8">
        <f>Q28</f>
        <v>0.24199999999999999</v>
      </c>
      <c r="T26" s="8">
        <f>Q29</f>
        <v>0.215</v>
      </c>
      <c r="U26" s="9">
        <f>Q30</f>
        <v>0.63300000000000001</v>
      </c>
    </row>
    <row r="27" spans="1:21" x14ac:dyDescent="0.25">
      <c r="A27" s="49"/>
      <c r="D27" s="5" t="s">
        <v>18</v>
      </c>
      <c r="F27" s="5">
        <v>0.36299999999999999</v>
      </c>
      <c r="H27" s="5">
        <f>F32-F27</f>
        <v>0.10599999999999998</v>
      </c>
      <c r="I27" s="5">
        <f>F33-F27</f>
        <v>0.124</v>
      </c>
      <c r="J27" s="5">
        <f>F34-F27</f>
        <v>0.28100000000000003</v>
      </c>
      <c r="L27" s="49"/>
      <c r="O27" s="5" t="s">
        <v>18</v>
      </c>
      <c r="Q27" s="5">
        <v>0.375</v>
      </c>
      <c r="S27" s="5">
        <f>Q32-Q27</f>
        <v>7.9000000000000015E-2</v>
      </c>
      <c r="T27" s="5">
        <f>Q33-Q27</f>
        <v>8.8000000000000023E-2</v>
      </c>
      <c r="U27" s="5">
        <f>Q34-Q27</f>
        <v>0.35499999999999998</v>
      </c>
    </row>
    <row r="28" spans="1:21" x14ac:dyDescent="0.25">
      <c r="A28" s="49"/>
      <c r="D28" s="5" t="s">
        <v>6</v>
      </c>
      <c r="F28" s="5">
        <v>8.8999999999999996E-2</v>
      </c>
      <c r="G28" s="5">
        <f>F32-F28</f>
        <v>0.38</v>
      </c>
      <c r="I28" s="5">
        <f>F35-F28</f>
        <v>9.6000000000000002E-2</v>
      </c>
      <c r="J28" s="5">
        <f>F36-F28</f>
        <v>0.26200000000000001</v>
      </c>
      <c r="L28" s="49"/>
      <c r="O28" s="5" t="s">
        <v>6</v>
      </c>
      <c r="Q28" s="5">
        <v>0.24199999999999999</v>
      </c>
      <c r="R28" s="5">
        <f>Q32-Q28</f>
        <v>0.21200000000000002</v>
      </c>
      <c r="T28" s="5">
        <f>Q35-Q28</f>
        <v>3.6000000000000032E-2</v>
      </c>
      <c r="U28" s="5">
        <f>Q36-Q28</f>
        <v>0.48299999999999998</v>
      </c>
    </row>
    <row r="29" spans="1:21" x14ac:dyDescent="0.25">
      <c r="A29" s="49"/>
      <c r="D29" s="5" t="s">
        <v>7</v>
      </c>
      <c r="F29" s="5">
        <v>0.185</v>
      </c>
      <c r="G29" s="5">
        <f>F33-F29</f>
        <v>0.30199999999999999</v>
      </c>
      <c r="H29" s="5">
        <f>F35-F29</f>
        <v>0</v>
      </c>
      <c r="J29" s="5">
        <f>F37-F29</f>
        <v>0.19800000000000001</v>
      </c>
      <c r="L29" s="49"/>
      <c r="O29" s="5" t="s">
        <v>7</v>
      </c>
      <c r="Q29" s="5">
        <v>0.215</v>
      </c>
      <c r="R29" s="5">
        <f>Q33-Q29</f>
        <v>0.24800000000000003</v>
      </c>
      <c r="S29" s="5">
        <f>Q35-Q29</f>
        <v>6.3000000000000028E-2</v>
      </c>
      <c r="U29" s="5">
        <f>Q37-Q29</f>
        <v>0.42400000000000004</v>
      </c>
    </row>
    <row r="30" spans="1:21" x14ac:dyDescent="0.25">
      <c r="A30" s="49"/>
      <c r="D30" s="5" t="s">
        <v>21</v>
      </c>
      <c r="F30" s="5">
        <v>0.34100000000000003</v>
      </c>
      <c r="G30" s="5">
        <f>F34-F30</f>
        <v>0.30299999999999999</v>
      </c>
      <c r="H30" s="5">
        <f>F36-F30</f>
        <v>9.9999999999999534E-3</v>
      </c>
      <c r="I30" s="5">
        <f>F37-F30</f>
        <v>4.1999999999999982E-2</v>
      </c>
      <c r="L30" s="49"/>
      <c r="O30" s="5" t="s">
        <v>21</v>
      </c>
      <c r="Q30" s="5">
        <v>0.63300000000000001</v>
      </c>
      <c r="R30" s="5">
        <f>Q34-Q30</f>
        <v>9.6999999999999975E-2</v>
      </c>
      <c r="S30" s="5">
        <f>Q36-Q30</f>
        <v>9.1999999999999971E-2</v>
      </c>
      <c r="T30" s="5">
        <f>Q37-Q30</f>
        <v>6.0000000000000053E-3</v>
      </c>
    </row>
    <row r="31" spans="1:21" x14ac:dyDescent="0.25">
      <c r="A31" s="49"/>
      <c r="E31" s="7" t="s">
        <v>0</v>
      </c>
      <c r="F31" s="8"/>
      <c r="G31" s="10">
        <f>AVERAGE(G27:G30)</f>
        <v>0.32833333333333331</v>
      </c>
      <c r="H31" s="10">
        <f>AVERAGE(H27:H30)</f>
        <v>3.8666666666666648E-2</v>
      </c>
      <c r="I31" s="10">
        <f>AVERAGE(I27:I30)</f>
        <v>8.7333333333333332E-2</v>
      </c>
      <c r="J31" s="10">
        <f>AVERAGE(J27:J30)</f>
        <v>0.24700000000000003</v>
      </c>
      <c r="L31" s="49"/>
      <c r="P31" s="7" t="s">
        <v>0</v>
      </c>
      <c r="Q31" s="8"/>
      <c r="R31" s="10">
        <f>AVERAGE(R27:R30)</f>
        <v>0.18566666666666667</v>
      </c>
      <c r="S31" s="10">
        <f>AVERAGE(S27:S30)</f>
        <v>7.8E-2</v>
      </c>
      <c r="T31" s="10">
        <f>AVERAGE(T27:T30)</f>
        <v>4.3333333333333356E-2</v>
      </c>
      <c r="U31" s="10">
        <f>AVERAGE(U27:U30)</f>
        <v>0.42066666666666669</v>
      </c>
    </row>
    <row r="32" spans="1:21" x14ac:dyDescent="0.25">
      <c r="A32" s="49"/>
      <c r="C32" s="5" t="s">
        <v>18</v>
      </c>
      <c r="D32" s="5" t="s">
        <v>6</v>
      </c>
      <c r="F32" s="5">
        <v>0.46899999999999997</v>
      </c>
      <c r="I32" s="5">
        <f>F39-F32</f>
        <v>2.8000000000000025E-2</v>
      </c>
      <c r="J32" s="5">
        <f>F40-F32</f>
        <v>0.19600000000000006</v>
      </c>
      <c r="L32" s="49"/>
      <c r="N32" s="5" t="s">
        <v>18</v>
      </c>
      <c r="O32" s="5" t="s">
        <v>6</v>
      </c>
      <c r="Q32" s="5">
        <v>0.45400000000000001</v>
      </c>
      <c r="T32" s="5">
        <f>Q39-Q32</f>
        <v>2.4999999999999967E-2</v>
      </c>
      <c r="U32" s="5">
        <f>Q40-Q32</f>
        <v>0.312</v>
      </c>
    </row>
    <row r="33" spans="1:22" x14ac:dyDescent="0.25">
      <c r="A33" s="49"/>
      <c r="C33" s="5" t="s">
        <v>18</v>
      </c>
      <c r="D33" s="5" t="s">
        <v>7</v>
      </c>
      <c r="F33" s="5">
        <v>0.48699999999999999</v>
      </c>
      <c r="H33" s="5">
        <f>F39-F33</f>
        <v>1.0000000000000009E-2</v>
      </c>
      <c r="J33" s="5">
        <f>F41-F33</f>
        <v>0.17900000000000005</v>
      </c>
      <c r="L33" s="49"/>
      <c r="N33" s="5" t="s">
        <v>18</v>
      </c>
      <c r="O33" s="5" t="s">
        <v>7</v>
      </c>
      <c r="Q33" s="5">
        <v>0.46300000000000002</v>
      </c>
      <c r="S33" s="5">
        <f>Q39-Q33</f>
        <v>1.5999999999999959E-2</v>
      </c>
      <c r="U33" s="5">
        <f>Q41-Q33</f>
        <v>0.26899999999999996</v>
      </c>
    </row>
    <row r="34" spans="1:22" x14ac:dyDescent="0.25">
      <c r="A34" s="49"/>
      <c r="C34" s="5" t="s">
        <v>18</v>
      </c>
      <c r="D34" s="5" t="s">
        <v>21</v>
      </c>
      <c r="F34" s="5">
        <v>0.64400000000000002</v>
      </c>
      <c r="H34" s="5">
        <f>F40-F34</f>
        <v>2.1000000000000019E-2</v>
      </c>
      <c r="I34" s="5">
        <f>F41-F34</f>
        <v>2.200000000000002E-2</v>
      </c>
      <c r="L34" s="49"/>
      <c r="N34" s="5" t="s">
        <v>18</v>
      </c>
      <c r="O34" s="5" t="s">
        <v>21</v>
      </c>
      <c r="Q34" s="5">
        <v>0.73</v>
      </c>
      <c r="S34" s="5">
        <f>Q40-Q34</f>
        <v>3.6000000000000032E-2</v>
      </c>
      <c r="T34" s="5">
        <f>Q41-Q34</f>
        <v>2.0000000000000018E-3</v>
      </c>
    </row>
    <row r="35" spans="1:22" x14ac:dyDescent="0.25">
      <c r="A35" s="49"/>
      <c r="C35" s="5" t="s">
        <v>6</v>
      </c>
      <c r="D35" s="5" t="s">
        <v>7</v>
      </c>
      <c r="F35" s="5">
        <v>0.185</v>
      </c>
      <c r="G35" s="5">
        <f>F39-F35</f>
        <v>0.312</v>
      </c>
      <c r="J35" s="5">
        <f>F42-F35</f>
        <v>0.20100000000000001</v>
      </c>
      <c r="L35" s="49"/>
      <c r="N35" s="5" t="s">
        <v>6</v>
      </c>
      <c r="O35" s="5" t="s">
        <v>7</v>
      </c>
      <c r="Q35" s="5">
        <v>0.27800000000000002</v>
      </c>
      <c r="R35" s="5">
        <f>Q39-Q35</f>
        <v>0.20099999999999996</v>
      </c>
      <c r="U35" s="5">
        <f>Q42-Q35</f>
        <v>0.47</v>
      </c>
    </row>
    <row r="36" spans="1:22" x14ac:dyDescent="0.25">
      <c r="A36" s="49"/>
      <c r="C36" s="5" t="s">
        <v>6</v>
      </c>
      <c r="D36" s="5" t="s">
        <v>21</v>
      </c>
      <c r="F36" s="5">
        <v>0.35099999999999998</v>
      </c>
      <c r="G36" s="5">
        <f>F40-F36</f>
        <v>0.31400000000000006</v>
      </c>
      <c r="I36" s="5">
        <f>F42-F36</f>
        <v>3.5000000000000031E-2</v>
      </c>
      <c r="L36" s="49"/>
      <c r="N36" s="5" t="s">
        <v>6</v>
      </c>
      <c r="O36" s="5" t="s">
        <v>21</v>
      </c>
      <c r="Q36" s="5">
        <v>0.72499999999999998</v>
      </c>
      <c r="R36" s="5">
        <f>Q40-Q36</f>
        <v>4.1000000000000036E-2</v>
      </c>
      <c r="T36" s="5">
        <f>Q42-Q36</f>
        <v>2.300000000000002E-2</v>
      </c>
    </row>
    <row r="37" spans="1:22" x14ac:dyDescent="0.25">
      <c r="A37" s="49"/>
      <c r="C37" s="5" t="s">
        <v>7</v>
      </c>
      <c r="D37" s="5" t="s">
        <v>21</v>
      </c>
      <c r="F37" s="5">
        <v>0.38300000000000001</v>
      </c>
      <c r="G37" s="5">
        <f>F41-F37</f>
        <v>0.28300000000000003</v>
      </c>
      <c r="H37" s="5">
        <f>F42-F37</f>
        <v>3.0000000000000027E-3</v>
      </c>
      <c r="L37" s="49"/>
      <c r="N37" s="5" t="s">
        <v>7</v>
      </c>
      <c r="O37" s="5" t="s">
        <v>21</v>
      </c>
      <c r="Q37" s="5">
        <v>0.63900000000000001</v>
      </c>
      <c r="R37" s="5">
        <f>Q41-Q37</f>
        <v>9.2999999999999972E-2</v>
      </c>
      <c r="S37" s="5">
        <f>Q42-Q37</f>
        <v>0.10899999999999999</v>
      </c>
    </row>
    <row r="38" spans="1:22" x14ac:dyDescent="0.25">
      <c r="A38" s="49"/>
      <c r="E38" s="7" t="s">
        <v>2</v>
      </c>
      <c r="F38" s="8"/>
      <c r="G38" s="10">
        <f>AVERAGE(G34:G37)</f>
        <v>0.30300000000000005</v>
      </c>
      <c r="H38" s="10">
        <f>AVERAGE(H34:H37)</f>
        <v>1.2000000000000011E-2</v>
      </c>
      <c r="I38" s="10">
        <f>AVERAGE(I34:I37)</f>
        <v>2.8500000000000025E-2</v>
      </c>
      <c r="J38" s="10">
        <f>AVERAGE(J34:J37)</f>
        <v>0.20100000000000001</v>
      </c>
      <c r="L38" s="49"/>
      <c r="P38" s="7" t="s">
        <v>2</v>
      </c>
      <c r="Q38" s="8"/>
      <c r="R38" s="10">
        <f>AVERAGE(R34:R37)</f>
        <v>0.11166666666666665</v>
      </c>
      <c r="S38" s="10">
        <f>AVERAGE(S34:S37)</f>
        <v>7.2500000000000009E-2</v>
      </c>
      <c r="T38" s="10">
        <f>AVERAGE(T34:T37)</f>
        <v>1.2500000000000011E-2</v>
      </c>
      <c r="U38" s="10">
        <f>AVERAGE(U34:U37)</f>
        <v>0.47</v>
      </c>
    </row>
    <row r="39" spans="1:22" x14ac:dyDescent="0.25">
      <c r="A39" s="49"/>
      <c r="B39" s="5" t="s">
        <v>18</v>
      </c>
      <c r="C39" s="5" t="s">
        <v>6</v>
      </c>
      <c r="D39" s="5" t="s">
        <v>7</v>
      </c>
      <c r="F39" s="5">
        <v>0.497</v>
      </c>
      <c r="J39" s="5">
        <f>F44-F39</f>
        <v>0.17300000000000004</v>
      </c>
      <c r="L39" s="49"/>
      <c r="M39" s="5" t="s">
        <v>18</v>
      </c>
      <c r="N39" s="5" t="s">
        <v>6</v>
      </c>
      <c r="O39" s="5" t="s">
        <v>7</v>
      </c>
      <c r="Q39" s="5">
        <v>0.47899999999999998</v>
      </c>
      <c r="U39" s="5">
        <f>Q44-Q39</f>
        <v>0.29900000000000004</v>
      </c>
    </row>
    <row r="40" spans="1:22" x14ac:dyDescent="0.25">
      <c r="A40" s="49"/>
      <c r="B40" s="5" t="s">
        <v>18</v>
      </c>
      <c r="C40" s="5" t="s">
        <v>6</v>
      </c>
      <c r="D40" s="5" t="s">
        <v>21</v>
      </c>
      <c r="F40" s="5">
        <v>0.66500000000000004</v>
      </c>
      <c r="I40" s="5">
        <f>F44-F40</f>
        <v>5.0000000000000044E-3</v>
      </c>
      <c r="L40" s="49"/>
      <c r="M40" s="5" t="s">
        <v>18</v>
      </c>
      <c r="N40" s="5" t="s">
        <v>6</v>
      </c>
      <c r="O40" s="5" t="s">
        <v>21</v>
      </c>
      <c r="Q40" s="5">
        <v>0.76600000000000001</v>
      </c>
      <c r="T40" s="5">
        <f>Q44-Q40</f>
        <v>1.2000000000000011E-2</v>
      </c>
    </row>
    <row r="41" spans="1:22" x14ac:dyDescent="0.25">
      <c r="A41" s="49"/>
      <c r="B41" s="5" t="s">
        <v>18</v>
      </c>
      <c r="C41" s="5" t="s">
        <v>7</v>
      </c>
      <c r="D41" s="5" t="s">
        <v>21</v>
      </c>
      <c r="F41" s="5">
        <v>0.66600000000000004</v>
      </c>
      <c r="H41" s="5">
        <f>F44-F41</f>
        <v>4.0000000000000036E-3</v>
      </c>
      <c r="L41" s="49"/>
      <c r="M41" s="5" t="s">
        <v>18</v>
      </c>
      <c r="N41" s="5" t="s">
        <v>7</v>
      </c>
      <c r="O41" s="5" t="s">
        <v>21</v>
      </c>
      <c r="Q41" s="5">
        <v>0.73199999999999998</v>
      </c>
      <c r="S41" s="5">
        <f>Q44-Q41</f>
        <v>4.6000000000000041E-2</v>
      </c>
    </row>
    <row r="42" spans="1:22" x14ac:dyDescent="0.25">
      <c r="A42" s="49"/>
      <c r="B42" s="5" t="s">
        <v>6</v>
      </c>
      <c r="C42" s="5" t="s">
        <v>7</v>
      </c>
      <c r="D42" s="5" t="s">
        <v>21</v>
      </c>
      <c r="F42" s="5">
        <v>0.38600000000000001</v>
      </c>
      <c r="G42" s="5">
        <f>F44-F42</f>
        <v>0.28400000000000003</v>
      </c>
      <c r="L42" s="49"/>
      <c r="M42" s="5" t="s">
        <v>6</v>
      </c>
      <c r="N42" s="5" t="s">
        <v>7</v>
      </c>
      <c r="O42" s="5" t="s">
        <v>21</v>
      </c>
      <c r="Q42" s="5">
        <v>0.748</v>
      </c>
      <c r="R42" s="5">
        <f>Q44-Q42</f>
        <v>3.0000000000000027E-2</v>
      </c>
    </row>
    <row r="43" spans="1:22" x14ac:dyDescent="0.25">
      <c r="A43" s="49"/>
      <c r="E43" s="7" t="s">
        <v>3</v>
      </c>
      <c r="F43" s="8"/>
      <c r="G43" s="10">
        <f>AVERAGE(G39:G42)</f>
        <v>0.28400000000000003</v>
      </c>
      <c r="H43" s="10">
        <f>AVERAGE(H39:H42)</f>
        <v>4.0000000000000036E-3</v>
      </c>
      <c r="I43" s="10">
        <f>AVERAGE(I39:I42)</f>
        <v>5.0000000000000044E-3</v>
      </c>
      <c r="J43" s="10">
        <f>AVERAGE(J39:J42)</f>
        <v>0.17300000000000004</v>
      </c>
      <c r="L43" s="49"/>
      <c r="P43" s="7" t="s">
        <v>3</v>
      </c>
      <c r="Q43" s="8"/>
      <c r="R43" s="10">
        <f>AVERAGE(R39:R42)</f>
        <v>3.0000000000000027E-2</v>
      </c>
      <c r="S43" s="10">
        <f>AVERAGE(S39:S42)</f>
        <v>4.6000000000000041E-2</v>
      </c>
      <c r="T43" s="10">
        <f>AVERAGE(T39:T42)</f>
        <v>1.2000000000000011E-2</v>
      </c>
      <c r="U43" s="10">
        <f>AVERAGE(U39:U42)</f>
        <v>0.29900000000000004</v>
      </c>
    </row>
    <row r="44" spans="1:22" x14ac:dyDescent="0.25">
      <c r="A44" s="49"/>
      <c r="B44" s="5" t="s">
        <v>18</v>
      </c>
      <c r="C44" s="5" t="s">
        <v>6</v>
      </c>
      <c r="D44" s="5" t="s">
        <v>7</v>
      </c>
      <c r="E44" s="5" t="s">
        <v>21</v>
      </c>
      <c r="F44" s="5">
        <v>0.67</v>
      </c>
      <c r="L44" s="49"/>
      <c r="M44" s="5" t="s">
        <v>18</v>
      </c>
      <c r="N44" s="5" t="s">
        <v>6</v>
      </c>
      <c r="O44" s="5" t="s">
        <v>7</v>
      </c>
      <c r="P44" s="5" t="s">
        <v>21</v>
      </c>
      <c r="Q44" s="5">
        <v>0.77800000000000002</v>
      </c>
    </row>
    <row r="45" spans="1:22" x14ac:dyDescent="0.25">
      <c r="A45" s="49"/>
      <c r="E45" s="7" t="s">
        <v>5</v>
      </c>
      <c r="F45" s="8"/>
      <c r="G45" s="10">
        <f>AVERAGE(G26,G31,G38,G43)</f>
        <v>0.31958333333333333</v>
      </c>
      <c r="H45" s="10">
        <f>AVERAGE(H26,H31,H38,H43)</f>
        <v>3.5916666666666666E-2</v>
      </c>
      <c r="I45" s="10">
        <f>AVERAGE(I26,I31,I38,I43)</f>
        <v>7.6458333333333336E-2</v>
      </c>
      <c r="J45" s="10">
        <f>AVERAGE(J26,J31,J38,J43)</f>
        <v>0.24050000000000005</v>
      </c>
      <c r="K45" s="44"/>
      <c r="L45" s="49"/>
      <c r="P45" s="7" t="s">
        <v>5</v>
      </c>
      <c r="Q45" s="8"/>
      <c r="R45" s="10">
        <f>AVERAGE(R26,R31,R38,R43)</f>
        <v>0.17558333333333334</v>
      </c>
      <c r="S45" s="10">
        <f>AVERAGE(S26,S31,S38,S43)</f>
        <v>0.10962500000000001</v>
      </c>
      <c r="T45" s="10">
        <f>AVERAGE(T26,T31,T38,T43)</f>
        <v>7.0708333333333345E-2</v>
      </c>
      <c r="U45" s="10">
        <f>AVERAGE(U26,U31,U38,U43)</f>
        <v>0.45566666666666666</v>
      </c>
      <c r="V45" s="44"/>
    </row>
    <row r="51" spans="10:24" x14ac:dyDescent="0.25">
      <c r="J51"/>
      <c r="K51"/>
      <c r="L51"/>
      <c r="V51"/>
      <c r="W51"/>
      <c r="X51"/>
    </row>
    <row r="52" spans="10:24" x14ac:dyDescent="0.25">
      <c r="J52"/>
      <c r="K52"/>
      <c r="L52"/>
      <c r="V52"/>
      <c r="W52"/>
      <c r="X52"/>
    </row>
    <row r="53" spans="10:24" x14ac:dyDescent="0.25">
      <c r="J53"/>
      <c r="K53"/>
      <c r="L53"/>
      <c r="V53"/>
      <c r="W53"/>
      <c r="X53"/>
    </row>
    <row r="54" spans="10:24" x14ac:dyDescent="0.25">
      <c r="J54"/>
      <c r="K54"/>
      <c r="L54"/>
      <c r="V54"/>
      <c r="W54"/>
      <c r="X54"/>
    </row>
    <row r="55" spans="10:24" x14ac:dyDescent="0.25">
      <c r="J55"/>
      <c r="K55"/>
      <c r="L55"/>
      <c r="V55"/>
      <c r="W55"/>
      <c r="X55"/>
    </row>
    <row r="56" spans="10:24" x14ac:dyDescent="0.25">
      <c r="J56"/>
      <c r="K56"/>
      <c r="L56"/>
      <c r="V56"/>
      <c r="W56"/>
      <c r="X56"/>
    </row>
    <row r="57" spans="10:24" x14ac:dyDescent="0.25">
      <c r="J57"/>
      <c r="K57"/>
      <c r="L57"/>
      <c r="V57"/>
      <c r="W57"/>
      <c r="X57"/>
    </row>
    <row r="58" spans="10:24" x14ac:dyDescent="0.25">
      <c r="J58"/>
      <c r="K58"/>
      <c r="L58"/>
      <c r="V58"/>
      <c r="W58"/>
      <c r="X58"/>
    </row>
    <row r="59" spans="10:24" x14ac:dyDescent="0.25">
      <c r="J59"/>
      <c r="K59"/>
      <c r="L59"/>
      <c r="V59"/>
      <c r="W59"/>
      <c r="X59"/>
    </row>
    <row r="60" spans="10:24" x14ac:dyDescent="0.25">
      <c r="J60"/>
      <c r="K60"/>
      <c r="L60"/>
      <c r="V60"/>
      <c r="W60"/>
      <c r="X60"/>
    </row>
    <row r="61" spans="10:24" x14ac:dyDescent="0.25">
      <c r="J61"/>
      <c r="K61"/>
      <c r="L61"/>
      <c r="V61"/>
      <c r="W61"/>
      <c r="X61"/>
    </row>
    <row r="62" spans="10:24" x14ac:dyDescent="0.25">
      <c r="J62"/>
      <c r="K62"/>
      <c r="L62"/>
      <c r="V62"/>
      <c r="W62"/>
      <c r="X62"/>
    </row>
    <row r="63" spans="10:24" x14ac:dyDescent="0.25">
      <c r="J63"/>
      <c r="K63"/>
      <c r="L63"/>
      <c r="V63"/>
      <c r="W63"/>
      <c r="X63"/>
    </row>
    <row r="64" spans="10:24" x14ac:dyDescent="0.25">
      <c r="J64"/>
      <c r="K64"/>
      <c r="L64"/>
      <c r="V64"/>
      <c r="W64"/>
      <c r="X64"/>
    </row>
    <row r="65" spans="10:24" x14ac:dyDescent="0.25">
      <c r="J65"/>
      <c r="K65"/>
      <c r="L65"/>
      <c r="V65"/>
      <c r="W65"/>
      <c r="X65"/>
    </row>
    <row r="66" spans="10:24" x14ac:dyDescent="0.25">
      <c r="J66"/>
      <c r="K66"/>
      <c r="L66"/>
      <c r="V66"/>
      <c r="W66"/>
      <c r="X66"/>
    </row>
    <row r="67" spans="10:24" x14ac:dyDescent="0.25">
      <c r="J67"/>
      <c r="K67"/>
      <c r="L67"/>
      <c r="V67"/>
      <c r="W67"/>
      <c r="X67"/>
    </row>
    <row r="68" spans="10:24" x14ac:dyDescent="0.25">
      <c r="J68"/>
      <c r="K68"/>
      <c r="L68"/>
      <c r="V68"/>
      <c r="W68"/>
      <c r="X68"/>
    </row>
    <row r="69" spans="10:24" x14ac:dyDescent="0.25">
      <c r="J69"/>
      <c r="K69"/>
      <c r="L69"/>
      <c r="V69"/>
      <c r="W69"/>
      <c r="X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AuditoryVariables</vt:lpstr>
      <vt:lpstr>CognitiveVariables (z-scores)</vt:lpstr>
      <vt:lpstr>Predictors&amp;Outcomes</vt:lpstr>
      <vt:lpstr>Dominance_D1-SR</vt:lpstr>
      <vt:lpstr>Dominance_D2-NM</vt:lpstr>
      <vt:lpstr>Dominance_D3-SR+NM</vt:lpstr>
      <vt:lpstr>Dominance_Summary</vt:lpstr>
      <vt:lpstr>Overall PCA &amp; Generalization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Fogerty, Dan</dc:creator>
  <cp:lastModifiedBy>Fogerty, Dan</cp:lastModifiedBy>
  <dcterms:created xsi:type="dcterms:W3CDTF">2023-09-28T23:08:19Z</dcterms:created>
  <dcterms:modified xsi:type="dcterms:W3CDTF">2025-06-02T21:25:47Z</dcterms:modified>
</cp:coreProperties>
</file>